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sdms-my.sharepoint.com/personal/caleb_jones_lightspeeddms_com/Documents/Documents/Metrics/"/>
    </mc:Choice>
  </mc:AlternateContent>
  <xr:revisionPtr revIDLastSave="445" documentId="8_{A98B2C27-503D-4D07-B954-F7D8567CB9EC}" xr6:coauthVersionLast="47" xr6:coauthVersionMax="47" xr10:uidLastSave="{0952B0FC-1A13-4114-9423-531FA9171835}"/>
  <bookViews>
    <workbookView xWindow="-105" yWindow="3105" windowWidth="26115" windowHeight="11310" xr2:uid="{DC8B422F-3648-483D-A6D4-7AB530544780}"/>
  </bookViews>
  <sheets>
    <sheet name="Data" sheetId="1" r:id="rId1"/>
    <sheet name="Supes" sheetId="3" r:id="rId2"/>
    <sheet name="Daily Report" sheetId="2" r:id="rId3"/>
  </sheets>
  <definedNames>
    <definedName name="TodayAssists">IFERROR(INDEX(Data!$N:$N, MATCH(TODAY(), Data!$B:$B, 0)) : INDEX(Data!$N:$N, MATCH(TODAY(), Data!$B:$B, 0) + 8), "")</definedName>
    <definedName name="TodayCalls">IFERROR(INDEX(Data!$H:$H,MATCH(TODAY(),Data!$B:$B,0)):INDEX(Data!$H:$H,MATCH(TODAY(),Data!$B:$B,0)+8),"")</definedName>
    <definedName name="TodayDelta">IFERROR(INDEX(Data!$M:$M,MATCH(TODAY(),Data!$B:$B,0)):INDEX(Data!$M:$M,MATCH(TODAY(),Data!$B:$B,0)+8),"")</definedName>
    <definedName name="TodaySLA">IFERROR(ROUND((INDEX(Data!$G:$G,MATCH(TODAY(),Data!$B:$B,0)):      INDEX(Data!$G:$G,MATCH(TODAY(),Data!$B:$B,0)+8))*100,0),"")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" i="1" l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L83" i="1"/>
  <c r="M83" i="1" s="1"/>
  <c r="L82" i="1"/>
  <c r="M82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0" i="1"/>
  <c r="M40" i="1" s="1"/>
  <c r="L39" i="1"/>
  <c r="M39" i="1" s="1"/>
  <c r="L38" i="1"/>
  <c r="M38" i="1" s="1"/>
  <c r="L37" i="1"/>
  <c r="L36" i="1"/>
  <c r="M36" i="1" s="1"/>
  <c r="L35" i="1"/>
  <c r="M35" i="1" s="1"/>
  <c r="L34" i="1"/>
  <c r="M34" i="1" s="1"/>
  <c r="L33" i="1"/>
  <c r="M33" i="1" s="1"/>
  <c r="L32" i="1"/>
  <c r="M32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0" i="1"/>
  <c r="M10" i="1" s="1"/>
  <c r="L9" i="1"/>
  <c r="L12" i="1"/>
  <c r="M12" i="1" s="1"/>
  <c r="G10" i="1"/>
  <c r="G9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0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2" i="1"/>
  <c r="G73" i="1"/>
  <c r="G74" i="1"/>
  <c r="G75" i="1"/>
  <c r="G76" i="1"/>
  <c r="G77" i="1"/>
  <c r="G78" i="1"/>
  <c r="G79" i="1"/>
  <c r="G80" i="1"/>
  <c r="G82" i="1"/>
  <c r="G83" i="1"/>
  <c r="G84" i="1"/>
  <c r="G85" i="1"/>
  <c r="G86" i="1"/>
  <c r="G87" i="1"/>
  <c r="G88" i="1"/>
  <c r="G89" i="1"/>
  <c r="G90" i="1"/>
  <c r="G92" i="1"/>
  <c r="G93" i="1"/>
  <c r="G94" i="1"/>
  <c r="G95" i="1"/>
  <c r="G96" i="1"/>
  <c r="G97" i="1"/>
  <c r="G98" i="1"/>
  <c r="G99" i="1"/>
  <c r="G100" i="1"/>
  <c r="H12" i="1"/>
  <c r="H13" i="1" s="1"/>
  <c r="H2" i="1"/>
  <c r="H3" i="1" s="1"/>
  <c r="H4" i="1" s="1"/>
  <c r="H5" i="1" s="1"/>
  <c r="H6" i="1" s="1"/>
  <c r="H7" i="1" s="1"/>
  <c r="H8" i="1" s="1"/>
  <c r="H9" i="1" s="1"/>
  <c r="H10" i="1" s="1"/>
  <c r="M100" i="1"/>
  <c r="M84" i="1"/>
  <c r="M37" i="1"/>
  <c r="G2" i="1"/>
  <c r="N101" i="1"/>
  <c r="D100" i="1"/>
  <c r="D99" i="1"/>
  <c r="D98" i="1"/>
  <c r="D97" i="1"/>
  <c r="D96" i="1"/>
  <c r="D95" i="1"/>
  <c r="D94" i="1"/>
  <c r="D93" i="1"/>
  <c r="D92" i="1"/>
  <c r="N91" i="1"/>
  <c r="D90" i="1"/>
  <c r="D89" i="1"/>
  <c r="D88" i="1"/>
  <c r="D87" i="1"/>
  <c r="D86" i="1"/>
  <c r="D85" i="1"/>
  <c r="D84" i="1"/>
  <c r="D83" i="1"/>
  <c r="D82" i="1"/>
  <c r="N81" i="1"/>
  <c r="D80" i="1"/>
  <c r="D79" i="1"/>
  <c r="D78" i="1"/>
  <c r="D77" i="1"/>
  <c r="D76" i="1"/>
  <c r="D75" i="1"/>
  <c r="D74" i="1"/>
  <c r="D73" i="1"/>
  <c r="D72" i="1"/>
  <c r="N71" i="1"/>
  <c r="D70" i="1"/>
  <c r="D69" i="1"/>
  <c r="D68" i="1"/>
  <c r="D67" i="1"/>
  <c r="D66" i="1"/>
  <c r="D65" i="1"/>
  <c r="D64" i="1"/>
  <c r="D63" i="1"/>
  <c r="D62" i="1"/>
  <c r="N61" i="1"/>
  <c r="D60" i="1"/>
  <c r="D59" i="1"/>
  <c r="D58" i="1"/>
  <c r="D57" i="1"/>
  <c r="D56" i="1"/>
  <c r="D55" i="1"/>
  <c r="D54" i="1"/>
  <c r="D53" i="1"/>
  <c r="D52" i="1"/>
  <c r="N51" i="1"/>
  <c r="D50" i="1"/>
  <c r="D49" i="1"/>
  <c r="D48" i="1"/>
  <c r="D47" i="1"/>
  <c r="D46" i="1"/>
  <c r="D45" i="1"/>
  <c r="D44" i="1"/>
  <c r="D43" i="1"/>
  <c r="D42" i="1"/>
  <c r="N41" i="1"/>
  <c r="D40" i="1"/>
  <c r="D39" i="1"/>
  <c r="D38" i="1"/>
  <c r="D37" i="1"/>
  <c r="D36" i="1"/>
  <c r="D35" i="1"/>
  <c r="D34" i="1"/>
  <c r="D33" i="1"/>
  <c r="D32" i="1"/>
  <c r="N31" i="1"/>
  <c r="N21" i="1"/>
  <c r="D30" i="1"/>
  <c r="D29" i="1"/>
  <c r="D28" i="1"/>
  <c r="D27" i="1"/>
  <c r="D26" i="1"/>
  <c r="D25" i="1"/>
  <c r="D24" i="1"/>
  <c r="D23" i="1"/>
  <c r="D22" i="1"/>
  <c r="D20" i="1"/>
  <c r="D19" i="1"/>
  <c r="D18" i="1"/>
  <c r="D17" i="1"/>
  <c r="D16" i="1"/>
  <c r="D15" i="1"/>
  <c r="D14" i="1"/>
  <c r="D13" i="1"/>
  <c r="D12" i="1"/>
  <c r="D8" i="1"/>
  <c r="D9" i="1"/>
  <c r="D10" i="1"/>
  <c r="D7" i="1"/>
  <c r="D3" i="1"/>
  <c r="D4" i="1"/>
  <c r="D5" i="1"/>
  <c r="D6" i="1"/>
  <c r="D2" i="1"/>
  <c r="N11" i="1"/>
  <c r="L5" i="1"/>
  <c r="L3" i="1"/>
  <c r="L4" i="1"/>
  <c r="L6" i="1"/>
  <c r="L7" i="1"/>
  <c r="L8" i="1"/>
  <c r="G4" i="1"/>
  <c r="G5" i="1"/>
  <c r="G6" i="1"/>
  <c r="G7" i="1"/>
  <c r="G8" i="1"/>
  <c r="G3" i="1"/>
  <c r="L2" i="1"/>
  <c r="M2" i="1" s="1"/>
  <c r="M7" i="1" l="1"/>
  <c r="M6" i="1"/>
  <c r="M5" i="1"/>
  <c r="M3" i="1"/>
  <c r="M9" i="1"/>
  <c r="M8" i="1"/>
  <c r="M4" i="1"/>
  <c r="I8" i="1"/>
  <c r="I7" i="1"/>
  <c r="I6" i="1"/>
  <c r="I5" i="1"/>
  <c r="I3" i="1"/>
  <c r="I4" i="1"/>
  <c r="I9" i="1"/>
  <c r="I10" i="1"/>
  <c r="M11" i="1" l="1"/>
  <c r="M81" i="1"/>
  <c r="M61" i="1"/>
  <c r="M91" i="1"/>
  <c r="M41" i="1"/>
  <c r="M21" i="1"/>
  <c r="M71" i="1"/>
  <c r="M51" i="1"/>
  <c r="H11" i="1"/>
  <c r="M101" i="1"/>
  <c r="M31" i="1"/>
  <c r="I13" i="1" l="1"/>
  <c r="H14" i="1" l="1"/>
  <c r="I14" i="1"/>
  <c r="H15" i="1" l="1"/>
  <c r="I15" i="1" s="1"/>
  <c r="H16" i="1" l="1"/>
  <c r="I16" i="1" s="1"/>
  <c r="H17" i="1" l="1"/>
  <c r="I17" i="1"/>
  <c r="H18" i="1" l="1"/>
  <c r="I18" i="1"/>
  <c r="H19" i="1" l="1"/>
  <c r="I19" i="1"/>
  <c r="H20" i="1" l="1"/>
  <c r="I20" i="1"/>
  <c r="H21" i="1" l="1"/>
  <c r="H22" i="1" l="1"/>
  <c r="I23" i="1" l="1"/>
  <c r="H23" i="1"/>
  <c r="H24" i="1" l="1"/>
  <c r="I24" i="1"/>
  <c r="H25" i="1" l="1"/>
  <c r="I25" i="1"/>
  <c r="H26" i="1" l="1"/>
  <c r="I26" i="1"/>
  <c r="H27" i="1" l="1"/>
  <c r="I27" i="1"/>
  <c r="H28" i="1" l="1"/>
  <c r="I28" i="1"/>
  <c r="H29" i="1" l="1"/>
  <c r="I29" i="1"/>
  <c r="H30" i="1" l="1"/>
  <c r="I30" i="1"/>
  <c r="H31" i="1" l="1"/>
  <c r="H32" i="1" l="1"/>
  <c r="I33" i="1" l="1"/>
  <c r="H33" i="1"/>
  <c r="H34" i="1" l="1"/>
  <c r="I34" i="1"/>
  <c r="H35" i="1" l="1"/>
  <c r="I35" i="1"/>
  <c r="H36" i="1" l="1"/>
  <c r="I36" i="1"/>
  <c r="H37" i="1" l="1"/>
  <c r="I37" i="1"/>
  <c r="H38" i="1" l="1"/>
  <c r="I38" i="1"/>
  <c r="H39" i="1" l="1"/>
  <c r="I39" i="1"/>
  <c r="H40" i="1" l="1"/>
  <c r="I40" i="1"/>
  <c r="H41" i="1" l="1"/>
  <c r="H42" i="1" l="1"/>
  <c r="I43" i="1" l="1"/>
  <c r="H43" i="1"/>
  <c r="H44" i="1" l="1"/>
  <c r="I44" i="1"/>
  <c r="H45" i="1" l="1"/>
  <c r="I45" i="1"/>
  <c r="H46" i="1" l="1"/>
  <c r="I46" i="1"/>
  <c r="H47" i="1" l="1"/>
  <c r="I47" i="1"/>
  <c r="H48" i="1" l="1"/>
  <c r="I48" i="1"/>
  <c r="H49" i="1" l="1"/>
  <c r="I49" i="1"/>
  <c r="H50" i="1" l="1"/>
  <c r="I50" i="1"/>
  <c r="H51" i="1" l="1"/>
  <c r="H52" i="1" l="1"/>
  <c r="I53" i="1" l="1"/>
  <c r="H53" i="1"/>
  <c r="H54" i="1" l="1"/>
  <c r="I54" i="1"/>
  <c r="H55" i="1" l="1"/>
  <c r="I55" i="1"/>
  <c r="H56" i="1" l="1"/>
  <c r="I56" i="1"/>
  <c r="H57" i="1" l="1"/>
  <c r="I57" i="1"/>
  <c r="H58" i="1" l="1"/>
  <c r="I58" i="1"/>
  <c r="H59" i="1" l="1"/>
  <c r="I59" i="1"/>
  <c r="H60" i="1" l="1"/>
  <c r="I60" i="1"/>
  <c r="H61" i="1" l="1"/>
  <c r="H62" i="1" l="1"/>
  <c r="I63" i="1" l="1"/>
  <c r="H63" i="1"/>
  <c r="H64" i="1" l="1"/>
  <c r="I64" i="1"/>
  <c r="H65" i="1" l="1"/>
  <c r="I65" i="1"/>
  <c r="H66" i="1" l="1"/>
  <c r="I66" i="1"/>
  <c r="H67" i="1" l="1"/>
  <c r="I67" i="1"/>
  <c r="H68" i="1" l="1"/>
  <c r="I68" i="1"/>
  <c r="H69" i="1" l="1"/>
  <c r="I69" i="1"/>
  <c r="H70" i="1" l="1"/>
  <c r="I70" i="1"/>
  <c r="H71" i="1" l="1"/>
  <c r="H72" i="1" l="1"/>
  <c r="I73" i="1" l="1"/>
  <c r="H73" i="1"/>
  <c r="H74" i="1" l="1"/>
  <c r="I74" i="1"/>
  <c r="H75" i="1" l="1"/>
  <c r="I75" i="1"/>
  <c r="H76" i="1" l="1"/>
  <c r="I76" i="1"/>
  <c r="H77" i="1" l="1"/>
  <c r="I77" i="1"/>
  <c r="H78" i="1" l="1"/>
  <c r="I78" i="1"/>
  <c r="H79" i="1" l="1"/>
  <c r="I79" i="1"/>
  <c r="H80" i="1" l="1"/>
  <c r="I80" i="1"/>
  <c r="H81" i="1" l="1"/>
  <c r="H82" i="1" l="1"/>
  <c r="I83" i="1" l="1"/>
  <c r="H83" i="1"/>
  <c r="H84" i="1" l="1"/>
  <c r="I84" i="1"/>
  <c r="H85" i="1" l="1"/>
  <c r="I85" i="1"/>
  <c r="H86" i="1" l="1"/>
  <c r="I86" i="1"/>
  <c r="H87" i="1" l="1"/>
  <c r="I87" i="1"/>
  <c r="H88" i="1" l="1"/>
  <c r="I88" i="1"/>
  <c r="H89" i="1" l="1"/>
  <c r="I89" i="1"/>
  <c r="H90" i="1" l="1"/>
  <c r="I90" i="1"/>
  <c r="H91" i="1" l="1"/>
  <c r="H92" i="1" l="1"/>
  <c r="I93" i="1" l="1"/>
  <c r="H93" i="1"/>
  <c r="H94" i="1" l="1"/>
  <c r="I94" i="1"/>
  <c r="H95" i="1" l="1"/>
  <c r="I95" i="1"/>
  <c r="H96" i="1" l="1"/>
  <c r="I96" i="1"/>
  <c r="H97" i="1" l="1"/>
  <c r="I97" i="1"/>
  <c r="H98" i="1" l="1"/>
  <c r="I98" i="1"/>
  <c r="H99" i="1" l="1"/>
  <c r="I99" i="1"/>
  <c r="H100" i="1" l="1"/>
  <c r="I100" i="1"/>
  <c r="H10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Caleb Jones</author>
  </authors>
  <commentList>
    <comment ref="J1" authorId="0" shapeId="0" xr:uid="{71374F30-7A7D-4F0D-BD9C-5545257C8167}">
      <text>
        <r>
          <rPr>
            <b/>
            <sz val="9"/>
            <color indexed="81"/>
            <rFont val="Tahoma"/>
            <family val="2"/>
          </rPr>
          <t>Total Backlog</t>
        </r>
      </text>
    </comment>
    <comment ref="K1" authorId="0" shapeId="0" xr:uid="{D4B4FBB0-9FB7-4056-9091-23F3476A573B}">
      <text>
        <r>
          <rPr>
            <b/>
            <sz val="9"/>
            <color indexed="81"/>
            <rFont val="Tahoma"/>
            <family val="2"/>
          </rPr>
          <t>Lightspeed Support Management Queue</t>
        </r>
      </text>
    </comment>
    <comment ref="L1" authorId="0" shapeId="0" xr:uid="{BA1365B6-20C6-4A35-B113-FB43139AE391}">
      <text>
        <r>
          <rPr>
            <b/>
            <sz val="9"/>
            <color indexed="81"/>
            <rFont val="Tahoma"/>
            <family val="2"/>
          </rPr>
          <t>Backlog, minus management queue items</t>
        </r>
      </text>
    </comment>
    <comment ref="N1" authorId="0" shapeId="0" xr:uid="{43F4EFBB-23FC-41D8-A107-F02AB238B7C8}">
      <text>
        <r>
          <rPr>
            <b/>
            <sz val="9"/>
            <color indexed="81"/>
            <rFont val="Tahoma"/>
            <family val="2"/>
          </rPr>
          <t>Threads assisted within the hour</t>
        </r>
      </text>
    </comment>
    <comment ref="Q1" authorId="0" shapeId="0" xr:uid="{A5499964-7978-421B-BB89-2B8B70963D77}">
      <text>
        <r>
          <rPr>
            <b/>
            <sz val="9"/>
            <color indexed="81"/>
            <rFont val="Tahoma"/>
            <family val="2"/>
          </rPr>
          <t>Right click a cell &gt; New Note.</t>
        </r>
      </text>
    </comment>
    <comment ref="Q3" authorId="0" shapeId="0" xr:uid="{32640D9D-592C-4B31-BFF7-9A95977EEBE5}">
      <text>
        <r>
          <rPr>
            <b/>
            <sz val="9"/>
            <color indexed="81"/>
            <rFont val="Tahoma"/>
            <family val="2"/>
          </rPr>
          <t>Caleb Jones:</t>
        </r>
        <r>
          <rPr>
            <sz val="9"/>
            <color indexed="81"/>
            <rFont val="Tahoma"/>
            <family val="2"/>
          </rPr>
          <t xml:space="preserve">
Ken did not have case routing enabled, which allowed him to sit inactive for 15 minutes; I enabled case routing for him at a level 20 proficiency.</t>
        </r>
      </text>
    </comment>
    <comment ref="Q4" authorId="0" shapeId="0" xr:uid="{6C64D58A-DDCA-4169-822C-6ED34B3393A1}">
      <text>
        <r>
          <rPr>
            <b/>
            <sz val="9"/>
            <color indexed="81"/>
            <rFont val="Tahoma"/>
            <family val="2"/>
          </rPr>
          <t>Caleb Jones:</t>
        </r>
        <r>
          <rPr>
            <sz val="9"/>
            <color indexed="81"/>
            <rFont val="Tahoma"/>
            <family val="2"/>
          </rPr>
          <t xml:space="preserve">
Removed case routing for Antonio and Ken to prioritize calls.</t>
        </r>
      </text>
    </comment>
    <comment ref="Q8" authorId="0" shapeId="0" xr:uid="{8FAA5CBA-97C9-4F61-932C-75E4BF55FC6E}">
      <text>
        <r>
          <rPr>
            <b/>
            <sz val="9"/>
            <color indexed="81"/>
            <rFont val="Tahoma"/>
            <family val="2"/>
          </rPr>
          <t>Caleb Jones:</t>
        </r>
        <r>
          <rPr>
            <sz val="9"/>
            <color indexed="81"/>
            <rFont val="Tahoma"/>
            <family val="2"/>
          </rPr>
          <t xml:space="preserve">
Ken put in a request for ICD to add a pricebook license for a dealer at 1:47. ICD stated they would be able to do this in an hour.</t>
        </r>
      </text>
    </comment>
    <comment ref="Q10" authorId="0" shapeId="0" xr:uid="{CE16DF87-1134-48FE-BB69-BFB042EF0800}">
      <text>
        <r>
          <rPr>
            <b/>
            <sz val="9"/>
            <color indexed="81"/>
            <rFont val="Tahoma"/>
            <family val="2"/>
          </rPr>
          <t>Caleb Jones:</t>
        </r>
        <r>
          <rPr>
            <sz val="9"/>
            <color indexed="81"/>
            <rFont val="Tahoma"/>
            <family val="2"/>
          </rPr>
          <t xml:space="preserve">
ICD added the PB license at 3:28</t>
        </r>
      </text>
    </comment>
  </commentList>
</comments>
</file>

<file path=xl/sharedStrings.xml><?xml version="1.0" encoding="utf-8"?>
<sst xmlns="http://schemas.openxmlformats.org/spreadsheetml/2006/main" count="29" uniqueCount="19">
  <si>
    <t>Time</t>
  </si>
  <si>
    <t>SLA</t>
  </si>
  <si>
    <t>IN</t>
  </si>
  <si>
    <t>OUT</t>
  </si>
  <si>
    <t>BACKLOG</t>
  </si>
  <si>
    <t>LSM Q</t>
  </si>
  <si>
    <t>Date</t>
  </si>
  <si>
    <t>REAL BL</t>
  </si>
  <si>
    <t>Supe</t>
  </si>
  <si>
    <t>Comments</t>
  </si>
  <si>
    <t>Assisted</t>
  </si>
  <si>
    <t>Abyss W</t>
  </si>
  <si>
    <t>Calls</t>
  </si>
  <si>
    <t>Caleb J</t>
  </si>
  <si>
    <t>Riley B</t>
  </si>
  <si>
    <t>Alison L</t>
  </si>
  <si>
    <t>SCHEDULE</t>
  </si>
  <si>
    <t>7:00 AM - 4:00 PM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</si>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</sst>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F400]h:mm:ss\ AM/PM"/>
    <numFmt numFmtId="168" formatCode="\+0;\-0;0"/>
    <numFmt numFmtId="180" formatCode="h:mm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16" fontId="0" fillId="0" borderId="0" xfId="0" applyNumberFormat="1"/>
    <xf numFmtId="168" fontId="0" fillId="0" borderId="0" xfId="0" applyNumberFormat="1"/>
    <xf numFmtId="0" fontId="2" fillId="0" borderId="0" xfId="0" applyFont="1"/>
    <xf numFmtId="1" fontId="2" fillId="0" borderId="0" xfId="1" applyNumberFormat="1" applyFont="1"/>
    <xf numFmtId="168" fontId="2" fillId="0" borderId="0" xfId="0" applyNumberFormat="1" applyFont="1"/>
    <xf numFmtId="168" fontId="6" fillId="0" borderId="0" xfId="1" applyNumberFormat="1" applyFont="1"/>
    <xf numFmtId="168" fontId="5" fillId="0" borderId="0" xfId="1" applyNumberFormat="1" applyFont="1"/>
    <xf numFmtId="1" fontId="0" fillId="0" borderId="1" xfId="0" applyNumberFormat="1" applyBorder="1"/>
    <xf numFmtId="1" fontId="0" fillId="0" borderId="1" xfId="1" applyNumberFormat="1" applyFont="1" applyBorder="1"/>
    <xf numFmtId="0" fontId="0" fillId="0" borderId="1" xfId="0" applyBorder="1"/>
    <xf numFmtId="1" fontId="0" fillId="0" borderId="2" xfId="0" applyNumberFormat="1" applyBorder="1"/>
    <xf numFmtId="1" fontId="0" fillId="0" borderId="2" xfId="1" applyNumberFormat="1" applyFont="1" applyBorder="1"/>
    <xf numFmtId="0" fontId="0" fillId="0" borderId="2" xfId="0" applyBorder="1"/>
    <xf numFmtId="16" fontId="0" fillId="0" borderId="3" xfId="0" applyNumberFormat="1" applyBorder="1"/>
    <xf numFmtId="165" fontId="0" fillId="0" borderId="3" xfId="0" applyNumberFormat="1" applyBorder="1"/>
    <xf numFmtId="1" fontId="0" fillId="0" borderId="3" xfId="0" applyNumberFormat="1" applyBorder="1"/>
    <xf numFmtId="168" fontId="6" fillId="0" borderId="3" xfId="1" applyNumberFormat="1" applyFont="1" applyBorder="1"/>
    <xf numFmtId="0" fontId="0" fillId="0" borderId="3" xfId="0" applyBorder="1"/>
    <xf numFmtId="168" fontId="6" fillId="0" borderId="3" xfId="0" applyNumberFormat="1" applyFont="1" applyBorder="1"/>
    <xf numFmtId="0" fontId="0" fillId="0" borderId="4" xfId="0" applyBorder="1"/>
    <xf numFmtId="165" fontId="0" fillId="0" borderId="4" xfId="0" applyNumberFormat="1" applyBorder="1"/>
    <xf numFmtId="1" fontId="0" fillId="0" borderId="4" xfId="0" applyNumberFormat="1" applyBorder="1"/>
    <xf numFmtId="1" fontId="0" fillId="0" borderId="4" xfId="1" applyNumberFormat="1" applyFont="1" applyBorder="1"/>
    <xf numFmtId="168" fontId="6" fillId="0" borderId="4" xfId="1" applyNumberFormat="1" applyFont="1" applyBorder="1"/>
    <xf numFmtId="0" fontId="2" fillId="0" borderId="3" xfId="0" applyFont="1" applyBorder="1"/>
    <xf numFmtId="0" fontId="2" fillId="0" borderId="4" xfId="0" applyFont="1" applyBorder="1"/>
    <xf numFmtId="1" fontId="2" fillId="0" borderId="3" xfId="0" applyNumberFormat="1" applyFont="1" applyBorder="1"/>
    <xf numFmtId="1" fontId="2" fillId="0" borderId="3" xfId="1" applyNumberFormat="1" applyFont="1" applyBorder="1"/>
    <xf numFmtId="1" fontId="7" fillId="0" borderId="0" xfId="1" applyNumberFormat="1" applyFont="1"/>
    <xf numFmtId="1" fontId="7" fillId="0" borderId="3" xfId="1" applyNumberFormat="1" applyFont="1" applyBorder="1"/>
    <xf numFmtId="1" fontId="7" fillId="0" borderId="4" xfId="1" applyNumberFormat="1" applyFont="1" applyBorder="1"/>
    <xf numFmtId="9" fontId="9" fillId="0" borderId="3" xfId="1" applyNumberFormat="1" applyFont="1" applyBorder="1"/>
    <xf numFmtId="9" fontId="9" fillId="0" borderId="4" xfId="1" applyNumberFormat="1" applyFont="1" applyBorder="1"/>
    <xf numFmtId="9" fontId="9" fillId="0" borderId="0" xfId="1" applyNumberFormat="1" applyFont="1"/>
    <xf numFmtId="165" fontId="2" fillId="0" borderId="3" xfId="0" applyNumberFormat="1" applyFont="1" applyBorder="1"/>
    <xf numFmtId="9" fontId="8" fillId="0" borderId="3" xfId="1" applyNumberFormat="1" applyFont="1" applyBorder="1"/>
    <xf numFmtId="1" fontId="5" fillId="0" borderId="3" xfId="1" applyNumberFormat="1" applyFont="1" applyBorder="1"/>
    <xf numFmtId="168" fontId="2" fillId="0" borderId="3" xfId="0" applyNumberFormat="1" applyFont="1" applyBorder="1"/>
    <xf numFmtId="165" fontId="2" fillId="0" borderId="4" xfId="0" applyNumberFormat="1" applyFont="1" applyBorder="1"/>
    <xf numFmtId="1" fontId="2" fillId="0" borderId="4" xfId="0" applyNumberFormat="1" applyFont="1" applyBorder="1"/>
    <xf numFmtId="1" fontId="2" fillId="0" borderId="4" xfId="1" applyNumberFormat="1" applyFont="1" applyBorder="1"/>
    <xf numFmtId="9" fontId="8" fillId="0" borderId="4" xfId="1" applyNumberFormat="1" applyFont="1" applyBorder="1"/>
    <xf numFmtId="168" fontId="5" fillId="0" borderId="4" xfId="1" applyNumberFormat="1" applyFont="1" applyBorder="1"/>
    <xf numFmtId="168" fontId="2" fillId="0" borderId="4" xfId="0" applyNumberFormat="1" applyFont="1" applyBorder="1"/>
    <xf numFmtId="168" fontId="6" fillId="2" borderId="3" xfId="1" applyNumberFormat="1" applyFont="1" applyFill="1" applyBorder="1"/>
    <xf numFmtId="180" fontId="2" fillId="0" borderId="3" xfId="0" applyNumberFormat="1" applyFont="1" applyBorder="1"/>
    <xf numFmtId="180" fontId="0" fillId="0" borderId="3" xfId="0" applyNumberFormat="1" applyBorder="1"/>
    <xf numFmtId="180" fontId="0" fillId="0" borderId="4" xfId="0" applyNumberFormat="1" applyBorder="1"/>
    <xf numFmtId="180" fontId="2" fillId="0" borderId="4" xfId="0" applyNumberFormat="1" applyFont="1" applyBorder="1"/>
    <xf numFmtId="180" fontId="0" fillId="0" borderId="0" xfId="0" applyNumberFormat="1"/>
  </cellXfs>
  <cellStyles count="2">
    <cellStyle name="Normal" xfId="0" builtinId="0"/>
    <cellStyle name="Percent" xfId="1" builtinId="5"/>
  </cellStyles>
  <dxfs count="16"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ill>
        <patternFill>
          <bgColor rgb="FFBABABA"/>
        </patternFill>
      </fill>
    </dxf>
    <dxf>
      <font>
        <b val="0"/>
        <i val="0"/>
        <color theme="6"/>
      </font>
    </dxf>
    <dxf>
      <font>
        <color rgb="FFD0A712"/>
      </font>
    </dxf>
    <dxf>
      <font>
        <b val="0"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ABABA"/>
        </patternFill>
      </fill>
    </dxf>
  </dxfs>
  <tableStyles count="0" defaultTableStyle="TableStyleMedium2" defaultPivotStyle="PivotStyleLight16"/>
  <colors>
    <mruColors>
      <color rgb="FFBABABA"/>
      <color rgb="FFD0A712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27699510534156"/>
          <c:y val="8.3736077544762366E-2"/>
          <c:w val="0.77247443207530098"/>
          <c:h val="0.73322169382292557"/>
        </c:manualLayout>
      </c:layout>
      <c:barChart>
        <c:barDir val="col"/>
        <c:grouping val="clustered"/>
        <c:varyColors val="0"/>
        <c:ser>
          <c:idx val="3"/>
          <c:order val="1"/>
          <c:tx>
            <c:v>Delta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Data!$C$2:$C$10</c:f>
              <c:numCache>
                <c:formatCode>h:mm;@</c:formatCode>
                <c:ptCount val="9"/>
                <c:pt idx="0">
                  <c:v>0.29166666666666669</c:v>
                </c:pt>
                <c:pt idx="1">
                  <c:v>0.33333333333333298</c:v>
                </c:pt>
                <c:pt idx="2">
                  <c:v>0.374999999999999</c:v>
                </c:pt>
                <c:pt idx="3">
                  <c:v>0.41666666666666602</c:v>
                </c:pt>
                <c:pt idx="4">
                  <c:v>0.45833333333333198</c:v>
                </c:pt>
                <c:pt idx="5">
                  <c:v>0.499999999999998</c:v>
                </c:pt>
                <c:pt idx="6">
                  <c:v>0.54166666666666496</c:v>
                </c:pt>
                <c:pt idx="7">
                  <c:v>0.58333333333333104</c:v>
                </c:pt>
                <c:pt idx="8">
                  <c:v>0.624999999999997</c:v>
                </c:pt>
              </c:numCache>
            </c:numRef>
          </c:cat>
          <c:val>
            <c:numRef>
              <c:f>[0]!TodayDelta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-1</c:v>
                </c:pt>
                <c:pt idx="6">
                  <c:v>1</c:v>
                </c:pt>
                <c:pt idx="7">
                  <c:v>-6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4-413E-99A4-43318E671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9288191"/>
        <c:axId val="1899273311"/>
      </c:barChart>
      <c:lineChart>
        <c:grouping val="standard"/>
        <c:varyColors val="0"/>
        <c:ser>
          <c:idx val="1"/>
          <c:order val="0"/>
          <c:tx>
            <c:strRef>
              <c:f>Data!$G$1</c:f>
              <c:strCache>
                <c:ptCount val="1"/>
                <c:pt idx="0">
                  <c:v>SLA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Data!$D$2:$D$10</c:f>
              <c:strCache>
                <c:ptCount val="9"/>
                <c:pt idx="0">
                  <c:v>7:00</c:v>
                </c:pt>
                <c:pt idx="1">
                  <c:v>8:00</c:v>
                </c:pt>
                <c:pt idx="2">
                  <c:v>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1:00</c:v>
                </c:pt>
                <c:pt idx="7">
                  <c:v>2:00</c:v>
                </c:pt>
                <c:pt idx="8">
                  <c:v>3:00</c:v>
                </c:pt>
              </c:strCache>
            </c:strRef>
          </c:cat>
          <c:val>
            <c:numRef>
              <c:f>[0]!TodaySLA</c:f>
              <c:numCache>
                <c:formatCode>General</c:formatCode>
                <c:ptCount val="9"/>
                <c:pt idx="0">
                  <c:v>100</c:v>
                </c:pt>
                <c:pt idx="1">
                  <c:v>63</c:v>
                </c:pt>
                <c:pt idx="2">
                  <c:v>56</c:v>
                </c:pt>
                <c:pt idx="3">
                  <c:v>50</c:v>
                </c:pt>
                <c:pt idx="4">
                  <c:v>53</c:v>
                </c:pt>
                <c:pt idx="5">
                  <c:v>43</c:v>
                </c:pt>
                <c:pt idx="6">
                  <c:v>43</c:v>
                </c:pt>
                <c:pt idx="7">
                  <c:v>44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74-413E-99A4-43318E671186}"/>
            </c:ext>
          </c:extLst>
        </c:ser>
        <c:ser>
          <c:idx val="0"/>
          <c:order val="2"/>
          <c:tx>
            <c:strRef>
              <c:f>Data!$N$1</c:f>
              <c:strCache>
                <c:ptCount val="1"/>
                <c:pt idx="0">
                  <c:v>Assisted</c:v>
                </c:pt>
              </c:strCache>
            </c:strRef>
          </c:tx>
          <c:spPr>
            <a:ln w="28575" cap="rnd">
              <a:solidFill>
                <a:schemeClr val="tx1">
                  <a:lumMod val="15000"/>
                  <a:lumOff val="85000"/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[0]!TodayAssists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74-413E-99A4-43318E671186}"/>
            </c:ext>
          </c:extLst>
        </c:ser>
        <c:ser>
          <c:idx val="2"/>
          <c:order val="3"/>
          <c:tx>
            <c:strRef>
              <c:f>Data!$H$1</c:f>
              <c:strCache>
                <c:ptCount val="1"/>
                <c:pt idx="0">
                  <c:v>Calls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[0]!TodayCalls</c:f>
              <c:numCache>
                <c:formatCode>General</c:formatCode>
                <c:ptCount val="9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9</c:v>
                </c:pt>
                <c:pt idx="4">
                  <c:v>4</c:v>
                </c:pt>
                <c:pt idx="5">
                  <c:v>11</c:v>
                </c:pt>
                <c:pt idx="6">
                  <c:v>10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74-413E-99A4-43318E671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317183"/>
        <c:axId val="415317663"/>
      </c:lineChart>
      <c:catAx>
        <c:axId val="41531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17663"/>
        <c:crosses val="autoZero"/>
        <c:auto val="1"/>
        <c:lblAlgn val="ctr"/>
        <c:lblOffset val="100"/>
        <c:noMultiLvlLbl val="0"/>
      </c:catAx>
      <c:valAx>
        <c:axId val="415317663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17183"/>
        <c:crosses val="autoZero"/>
        <c:crossBetween val="between"/>
        <c:minorUnit val="0.1"/>
      </c:valAx>
      <c:valAx>
        <c:axId val="1899273311"/>
        <c:scaling>
          <c:orientation val="minMax"/>
          <c:min val="-2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88191"/>
        <c:crosses val="max"/>
        <c:crossBetween val="between"/>
        <c:majorUnit val="1"/>
      </c:valAx>
      <c:catAx>
        <c:axId val="1899288191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8992733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0</xdr:row>
      <xdr:rowOff>19051</xdr:rowOff>
    </xdr:from>
    <xdr:to>
      <xdr:col>15</xdr:col>
      <xdr:colOff>523875</xdr:colOff>
      <xdr:row>0</xdr:row>
      <xdr:rowOff>219075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B33836-FAF3-423B-38A4-81361E126754}"/>
            </a:ext>
          </a:extLst>
        </xdr:cNvPr>
        <xdr:cNvSpPr/>
      </xdr:nvSpPr>
      <xdr:spPr>
        <a:xfrm>
          <a:off x="6172200" y="19051"/>
          <a:ext cx="1066800" cy="20002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+1</a:t>
          </a:r>
          <a:r>
            <a:rPr lang="en-US" sz="1100" baseline="0"/>
            <a:t> Assist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1</xdr:row>
      <xdr:rowOff>19050</xdr:rowOff>
    </xdr:from>
    <xdr:to>
      <xdr:col>11</xdr:col>
      <xdr:colOff>85726</xdr:colOff>
      <xdr:row>21</xdr:row>
      <xdr:rowOff>33129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2D265-431B-4420-B482-23F86747C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146D-F1E9-43C4-97CA-EC21F5112245}">
  <sheetPr codeName="Sheet1"/>
  <dimension ref="A1:U101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10.5703125" style="6" bestFit="1" customWidth="1"/>
    <col min="2" max="2" width="7.140625" bestFit="1" customWidth="1"/>
    <col min="3" max="3" width="11.28515625" style="53" customWidth="1"/>
    <col min="4" max="4" width="5.5703125" style="3" bestFit="1" customWidth="1"/>
    <col min="5" max="5" width="5" style="2" bestFit="1" customWidth="1"/>
    <col min="6" max="6" width="4" style="1" bestFit="1" customWidth="1"/>
    <col min="7" max="7" width="9.140625" style="37"/>
    <col min="8" max="8" width="5.5703125" style="32" bestFit="1" customWidth="1"/>
    <col min="9" max="9" width="3" style="9" bestFit="1" customWidth="1"/>
    <col min="12" max="12" width="9.5703125" style="2" bestFit="1" customWidth="1"/>
    <col min="13" max="13" width="5" style="5" bestFit="1" customWidth="1"/>
    <col min="14" max="14" width="8.7109375" bestFit="1" customWidth="1"/>
    <col min="17" max="17" width="4.85546875" customWidth="1"/>
    <col min="20" max="20" width="11" bestFit="1" customWidth="1"/>
  </cols>
  <sheetData>
    <row r="1" spans="1:21" s="6" customFormat="1" ht="19.5" customHeight="1" x14ac:dyDescent="0.25">
      <c r="A1" s="28" t="s">
        <v>8</v>
      </c>
      <c r="B1" s="28" t="s">
        <v>6</v>
      </c>
      <c r="C1" s="49" t="s">
        <v>0</v>
      </c>
      <c r="D1" s="38" t="s">
        <v>18</v>
      </c>
      <c r="E1" s="30" t="s">
        <v>3</v>
      </c>
      <c r="F1" s="31" t="s">
        <v>2</v>
      </c>
      <c r="G1" s="39" t="s">
        <v>1</v>
      </c>
      <c r="H1" s="31" t="s">
        <v>12</v>
      </c>
      <c r="I1" s="40"/>
      <c r="J1" s="28" t="s">
        <v>4</v>
      </c>
      <c r="K1" s="28" t="s">
        <v>5</v>
      </c>
      <c r="L1" s="30" t="s">
        <v>7</v>
      </c>
      <c r="M1" s="41"/>
      <c r="N1" s="28" t="s">
        <v>10</v>
      </c>
      <c r="Q1" s="6" t="s">
        <v>9</v>
      </c>
      <c r="T1" s="6" t="s">
        <v>16</v>
      </c>
      <c r="U1" s="6" t="s">
        <v>17</v>
      </c>
    </row>
    <row r="2" spans="1:21" x14ac:dyDescent="0.25">
      <c r="A2" s="28" t="s">
        <v>13</v>
      </c>
      <c r="B2" s="17">
        <v>46060</v>
      </c>
      <c r="C2" s="50">
        <v>0.29166666666666669</v>
      </c>
      <c r="D2" s="18" t="str">
        <f>TEXT(IF(HOUR(C2)=0,C2+TIME(12,0,0),IF(HOUR(C2)&gt;12,C2-TIME(12,0,0),C2)),"h:mm")</f>
        <v>7:00</v>
      </c>
      <c r="E2" s="14">
        <v>0</v>
      </c>
      <c r="F2" s="15">
        <v>7</v>
      </c>
      <c r="G2" s="35">
        <f>IFERROR(F2/(E2+F2),"")</f>
        <v>1</v>
      </c>
      <c r="H2" s="33">
        <f>IF(OR(E2&gt;0,F2&gt;0),(E2+F2),0)</f>
        <v>7</v>
      </c>
      <c r="I2" s="20"/>
      <c r="J2" s="16">
        <v>293</v>
      </c>
      <c r="K2" s="16">
        <v>57</v>
      </c>
      <c r="L2" s="19">
        <f>J2-K2</f>
        <v>236</v>
      </c>
      <c r="M2" s="22" t="str">
        <f>IFERROR(IF(OR(B2&gt;"",L2=0),0,L2-L1),"")</f>
        <v/>
      </c>
      <c r="N2" s="16">
        <v>4</v>
      </c>
    </row>
    <row r="3" spans="1:21" x14ac:dyDescent="0.25">
      <c r="A3" s="28"/>
      <c r="B3" s="23"/>
      <c r="C3" s="51">
        <v>0.33333333333333298</v>
      </c>
      <c r="D3" s="24" t="str">
        <f>TEXT(IF(HOUR(C3)=0,C3+TIME(12,0,0),IF(HOUR(C3)&gt;12,C3-TIME(12,0,0),C3)),"h:mm")</f>
        <v>8:00</v>
      </c>
      <c r="E3" s="11">
        <v>6</v>
      </c>
      <c r="F3" s="12">
        <v>10</v>
      </c>
      <c r="G3" s="36">
        <f>IFERROR(F3/(E3+F3),0)</f>
        <v>0.625</v>
      </c>
      <c r="H3" s="34">
        <f>IF(AND(ISNUMBER(H2),OR(E3&gt;0,F3&gt;0)),(E3+F3)-H2,0)</f>
        <v>9</v>
      </c>
      <c r="I3" s="27">
        <f>IF(AND(ISNUMBER(H2),OR(F3&gt;0,E3&gt;0)),H3-H2,0)</f>
        <v>2</v>
      </c>
      <c r="J3" s="13">
        <v>304</v>
      </c>
      <c r="K3" s="13">
        <v>67</v>
      </c>
      <c r="L3" s="25">
        <f t="shared" ref="L3:L8" si="0">J3-K3</f>
        <v>237</v>
      </c>
      <c r="M3" s="22">
        <f t="shared" ref="M3:M10" si="1">IFERROR(IF(OR(B3&gt;"",L3=0),0,L3-L2),"")</f>
        <v>1</v>
      </c>
      <c r="N3" s="13">
        <v>6</v>
      </c>
    </row>
    <row r="4" spans="1:21" x14ac:dyDescent="0.25">
      <c r="A4" s="28"/>
      <c r="B4" s="21"/>
      <c r="C4" s="50">
        <v>0.374999999999999</v>
      </c>
      <c r="D4" s="18" t="str">
        <f>TEXT(IF(HOUR(C4)=0,C4+TIME(12,0,0),IF(HOUR(C4)&gt;12,C4-TIME(12,0,0),C4)),"h:mm")</f>
        <v>9:00</v>
      </c>
      <c r="E4" s="11">
        <v>12</v>
      </c>
      <c r="F4" s="12">
        <v>15</v>
      </c>
      <c r="G4" s="35">
        <f>IFERROR(F4/(E4+F4),0)</f>
        <v>0.55555555555555558</v>
      </c>
      <c r="H4" s="33">
        <f>IF(AND(ISNUMBER(H3),OR(E4&gt;0,F4&gt;0)),(E4+F4)-SUM(H2:H3),0)</f>
        <v>11</v>
      </c>
      <c r="I4" s="20">
        <f>IF(AND(ISNUMBER(H3),OR(F4&gt;0,E4&gt;0)),H4-H3,0)</f>
        <v>2</v>
      </c>
      <c r="J4" s="13">
        <v>319</v>
      </c>
      <c r="K4" s="13">
        <v>82</v>
      </c>
      <c r="L4" s="19">
        <f t="shared" si="0"/>
        <v>237</v>
      </c>
      <c r="M4" s="22">
        <f t="shared" si="1"/>
        <v>0</v>
      </c>
      <c r="N4" s="13">
        <v>3</v>
      </c>
      <c r="O4">
        <v>3</v>
      </c>
    </row>
    <row r="5" spans="1:21" x14ac:dyDescent="0.25">
      <c r="A5" s="29"/>
      <c r="B5" s="23"/>
      <c r="C5" s="51">
        <v>0.41666666666666602</v>
      </c>
      <c r="D5" s="24" t="str">
        <f>TEXT(IF(HOUR(C5)=0,C5+TIME(12,0,0),IF(HOUR(C5)&gt;12,C5-TIME(12,0,0),C5)),"h:mm")</f>
        <v>10:00</v>
      </c>
      <c r="E5" s="11">
        <v>18</v>
      </c>
      <c r="F5" s="12">
        <v>18</v>
      </c>
      <c r="G5" s="36">
        <f>IFERROR(F5/(E5+F5),0)</f>
        <v>0.5</v>
      </c>
      <c r="H5" s="34">
        <f>IF(AND(ISNUMBER(H4),OR(E5&gt;0,F5&gt;0)),(E5+F5)-SUM(H2:H4),0)</f>
        <v>9</v>
      </c>
      <c r="I5" s="27">
        <f>IF(AND(ISNUMBER(H4),OR(F5&gt;0,E5&gt;0)),H5-H4,0)</f>
        <v>-2</v>
      </c>
      <c r="J5" s="13">
        <v>332</v>
      </c>
      <c r="K5" s="13">
        <v>93</v>
      </c>
      <c r="L5" s="25">
        <f>J5-K5</f>
        <v>239</v>
      </c>
      <c r="M5" s="22">
        <f t="shared" si="1"/>
        <v>2</v>
      </c>
      <c r="N5" s="13">
        <v>5</v>
      </c>
    </row>
    <row r="6" spans="1:21" x14ac:dyDescent="0.25">
      <c r="A6" s="29"/>
      <c r="B6" s="23"/>
      <c r="C6" s="51">
        <v>0.45833333333333198</v>
      </c>
      <c r="D6" s="24" t="str">
        <f>TEXT(IF(HOUR(C6)=0,C6+TIME(12,0,0),IF(HOUR(C6)&gt;12,C6-TIME(12,0,0),C6)),"h:mm")</f>
        <v>11:00</v>
      </c>
      <c r="E6" s="11">
        <v>19</v>
      </c>
      <c r="F6" s="12">
        <v>21</v>
      </c>
      <c r="G6" s="36">
        <f>IFERROR(F6/(E6+F6),0)</f>
        <v>0.52500000000000002</v>
      </c>
      <c r="H6" s="34">
        <f>IF(AND(ISNUMBER(H5),OR(E6&gt;0,F6&gt;0)),(E6+F6)-SUM(H2:H5),0)</f>
        <v>4</v>
      </c>
      <c r="I6" s="27">
        <f>IF(AND(ISNUMBER(H5),OR(F6&gt;0,E6&gt;0)),H6-H5,0)</f>
        <v>-5</v>
      </c>
      <c r="J6" s="13">
        <v>242</v>
      </c>
      <c r="K6" s="13">
        <v>2</v>
      </c>
      <c r="L6" s="25">
        <f t="shared" si="0"/>
        <v>240</v>
      </c>
      <c r="M6" s="22">
        <f t="shared" si="1"/>
        <v>1</v>
      </c>
      <c r="N6" s="13">
        <v>4</v>
      </c>
    </row>
    <row r="7" spans="1:21" x14ac:dyDescent="0.25">
      <c r="A7" s="29"/>
      <c r="B7" s="23"/>
      <c r="C7" s="51">
        <v>0.499999999999998</v>
      </c>
      <c r="D7" s="24" t="str">
        <f>TEXT(IF(AND(C7&gt;"",HOUR(C7)=0),C7+TIME(12,0,0),IF(HOUR(C7)&gt;12,C7-TIME(12,0,0),C7)),"h:mm")</f>
        <v>12:00</v>
      </c>
      <c r="E7" s="11">
        <v>29</v>
      </c>
      <c r="F7" s="12">
        <v>22</v>
      </c>
      <c r="G7" s="36">
        <f>IFERROR(F7/(E7+F7),0)</f>
        <v>0.43137254901960786</v>
      </c>
      <c r="H7" s="34">
        <f>IF(AND(ISNUMBER(H6),OR(E7&gt;0,F7&gt;0)),(E7+F7)-SUM(H2:H6),0)</f>
        <v>11</v>
      </c>
      <c r="I7" s="27">
        <f>IF(AND(ISNUMBER(H6),OR(F7&gt;0,E7&gt;0)),H7-H6,0)</f>
        <v>7</v>
      </c>
      <c r="J7" s="13">
        <v>246</v>
      </c>
      <c r="K7" s="12">
        <v>7</v>
      </c>
      <c r="L7" s="25">
        <f t="shared" si="0"/>
        <v>239</v>
      </c>
      <c r="M7" s="22">
        <f t="shared" si="1"/>
        <v>-1</v>
      </c>
      <c r="N7" s="13">
        <v>4</v>
      </c>
    </row>
    <row r="8" spans="1:21" x14ac:dyDescent="0.25">
      <c r="A8" s="29"/>
      <c r="B8" s="23"/>
      <c r="C8" s="51">
        <v>0.54166666666666496</v>
      </c>
      <c r="D8" s="24" t="str">
        <f>TEXT(IF(AND(C8&gt;"",HOUR(C8)=0),C8+TIME(12,0,0),IF(HOUR(C8)&gt;12,C8-TIME(12,0,0),C8)),"h:mm")</f>
        <v>1:00</v>
      </c>
      <c r="E8" s="11">
        <v>35</v>
      </c>
      <c r="F8" s="12">
        <v>26</v>
      </c>
      <c r="G8" s="36">
        <f>IFERROR(F8/(E8+F8),0)</f>
        <v>0.42622950819672129</v>
      </c>
      <c r="H8" s="34">
        <f>IF(AND(ISNUMBER(H7),OR(E8&gt;0,F8&gt;0)),(E8+F8)-SUM(H2:H7),0)</f>
        <v>10</v>
      </c>
      <c r="I8" s="27">
        <f>IF(AND(ISNUMBER(H7),OR(F8&gt;0,E8&gt;0)),H8-H7,0)</f>
        <v>-1</v>
      </c>
      <c r="J8" s="13">
        <v>252</v>
      </c>
      <c r="K8" s="13">
        <v>12</v>
      </c>
      <c r="L8" s="25">
        <f t="shared" si="0"/>
        <v>240</v>
      </c>
      <c r="M8" s="22">
        <f t="shared" si="1"/>
        <v>1</v>
      </c>
      <c r="N8" s="13">
        <v>5</v>
      </c>
    </row>
    <row r="9" spans="1:21" x14ac:dyDescent="0.25">
      <c r="A9" s="29"/>
      <c r="B9" s="23"/>
      <c r="C9" s="51">
        <v>0.58333333333333104</v>
      </c>
      <c r="D9" s="24" t="str">
        <f>TEXT(IF(AND(C9&gt;"",HOUR(C9)=0),C9+TIME(12,0,0),IF(HOUR(C9)&gt;12,C9-TIME(12,0,0),C9)),"h:mm")</f>
        <v>2:00</v>
      </c>
      <c r="E9" s="11">
        <v>35</v>
      </c>
      <c r="F9" s="12">
        <v>28</v>
      </c>
      <c r="G9" s="36">
        <f t="shared" ref="G9:G10" si="2">IFERROR(F9/(E9+F9),0)</f>
        <v>0.44444444444444442</v>
      </c>
      <c r="H9" s="34">
        <f>IF(AND(ISNUMBER(H8),OR(E9&gt;0,F9&gt;0)),(E9+F9)-SUM(H2:H8),0)</f>
        <v>2</v>
      </c>
      <c r="I9" s="27">
        <f>IF(AND(ISNUMBER(H8),OR(F9&gt;0,E9&gt;0)),H9-H8,0)</f>
        <v>-8</v>
      </c>
      <c r="J9" s="13">
        <v>255</v>
      </c>
      <c r="K9" s="13">
        <v>21</v>
      </c>
      <c r="L9" s="19">
        <f t="shared" ref="L9:L10" si="3">IF(J9&gt;0,J9-K9,0)</f>
        <v>234</v>
      </c>
      <c r="M9" s="22">
        <f t="shared" si="1"/>
        <v>-6</v>
      </c>
      <c r="N9" s="13">
        <v>4</v>
      </c>
    </row>
    <row r="10" spans="1:21" x14ac:dyDescent="0.25">
      <c r="A10" s="29"/>
      <c r="B10" s="23"/>
      <c r="C10" s="51">
        <v>0.624999999999997</v>
      </c>
      <c r="D10" s="24" t="str">
        <f>TEXT(IF(AND(C10&gt;"",HOUR(C10)=0),C10+TIME(12,0,0),IF(HOUR(C10)&gt;12,C10-TIME(12,0,0),C10)),"h:mm")</f>
        <v>3:00</v>
      </c>
      <c r="E10" s="11">
        <v>0</v>
      </c>
      <c r="F10" s="12">
        <v>0</v>
      </c>
      <c r="G10" s="36">
        <f t="shared" si="2"/>
        <v>0</v>
      </c>
      <c r="H10" s="34">
        <f>IF(AND(ISNUMBER(H9),OR(E10&gt;0,F10&gt;0)),(E10+F10)-SUM(H2:H9),0)</f>
        <v>0</v>
      </c>
      <c r="I10" s="27">
        <f>IF(AND(ISNUMBER(H9),OR(F10&gt;0,E10&gt;0)),H10-H9,0)</f>
        <v>0</v>
      </c>
      <c r="J10" s="13"/>
      <c r="K10" s="13"/>
      <c r="L10" s="19">
        <f t="shared" si="3"/>
        <v>0</v>
      </c>
      <c r="M10" s="22">
        <f t="shared" si="1"/>
        <v>0</v>
      </c>
      <c r="N10" s="13">
        <v>1</v>
      </c>
    </row>
    <row r="11" spans="1:21" s="6" customFormat="1" x14ac:dyDescent="0.25">
      <c r="A11" s="29"/>
      <c r="B11" s="29"/>
      <c r="C11" s="52"/>
      <c r="D11" s="42"/>
      <c r="E11" s="43"/>
      <c r="F11" s="44"/>
      <c r="G11" s="45"/>
      <c r="H11" s="44">
        <f>SUM(H2:H10)</f>
        <v>63</v>
      </c>
      <c r="I11" s="46"/>
      <c r="J11" s="29"/>
      <c r="K11" s="29"/>
      <c r="L11" s="43"/>
      <c r="M11" s="47">
        <f>SUM(M2:M10)</f>
        <v>-2</v>
      </c>
      <c r="N11" s="29">
        <f>SUM(N2:N10)</f>
        <v>36</v>
      </c>
    </row>
    <row r="12" spans="1:21" x14ac:dyDescent="0.25">
      <c r="A12" s="28" t="s">
        <v>11</v>
      </c>
      <c r="B12" s="17">
        <v>46067</v>
      </c>
      <c r="C12" s="50">
        <v>0.29166666666666669</v>
      </c>
      <c r="D12" s="18" t="str">
        <f>TEXT(IF(HOUR(C12)=0,C12+TIME(12,0,0),IF(HOUR(C12)&gt;12,C12-TIME(12,0,0),C12)),"h:mm")</f>
        <v>7:00</v>
      </c>
      <c r="E12" s="14"/>
      <c r="F12" s="15"/>
      <c r="G12" s="35">
        <f>IFERROR(F12/(E12+F12),0)</f>
        <v>0</v>
      </c>
      <c r="H12" s="33">
        <f>IF(OR(E12&gt;0,F12&gt;0),(E12+F12),0)</f>
        <v>0</v>
      </c>
      <c r="I12" s="48"/>
      <c r="J12" s="16"/>
      <c r="K12" s="16"/>
      <c r="L12" s="19">
        <f>IF(J12&gt;0,J12-K12,0)</f>
        <v>0</v>
      </c>
      <c r="M12" s="22">
        <f>IFERROR(IF(OR(B12&gt;"",L12=0),0,L12-L11),"")</f>
        <v>0</v>
      </c>
      <c r="N12" s="16"/>
    </row>
    <row r="13" spans="1:21" x14ac:dyDescent="0.25">
      <c r="A13" s="28"/>
      <c r="B13" s="23"/>
      <c r="C13" s="51">
        <v>0.33333333333333298</v>
      </c>
      <c r="D13" s="24" t="str">
        <f>TEXT(IF(HOUR(C13)=0,C13+TIME(12,0,0),IF(HOUR(C13)&gt;12,C13-TIME(12,0,0),C13)),"h:mm")</f>
        <v>8:00</v>
      </c>
      <c r="E13" s="11"/>
      <c r="F13" s="12"/>
      <c r="G13" s="36">
        <f>IFERROR(F13/(E13+F13),0)</f>
        <v>0</v>
      </c>
      <c r="H13" s="34">
        <f>IF(AND(ISNUMBER(H12),OR(E13&gt;0,F13&gt;0)),(E13+F13)-H12,0)</f>
        <v>0</v>
      </c>
      <c r="I13" s="27">
        <f t="shared" ref="I13:I20" si="4">IF(AND(ISNUMBER(H12),OR(F13&gt;0,E13&gt;0)),H13-H12,0)</f>
        <v>0</v>
      </c>
      <c r="J13" s="13"/>
      <c r="K13" s="13"/>
      <c r="L13" s="19">
        <f t="shared" ref="L13:L20" si="5">IF(J13&gt;0,J13-K13,0)</f>
        <v>0</v>
      </c>
      <c r="M13" s="22">
        <f t="shared" ref="M13:M20" si="6">IFERROR(IF(OR(B13&gt;"",L13=0),0,L13-L12),"")</f>
        <v>0</v>
      </c>
      <c r="N13" s="13"/>
    </row>
    <row r="14" spans="1:21" x14ac:dyDescent="0.25">
      <c r="A14" s="28"/>
      <c r="B14" s="21"/>
      <c r="C14" s="50">
        <v>0.374999999999999</v>
      </c>
      <c r="D14" s="18" t="str">
        <f>TEXT(IF(HOUR(C14)=0,C14+TIME(12,0,0),IF(HOUR(C14)&gt;12,C14-TIME(12,0,0),C14)),"h:mm")</f>
        <v>9:00</v>
      </c>
      <c r="E14" s="11"/>
      <c r="F14" s="12"/>
      <c r="G14" s="35">
        <f>IFERROR(F14/(E14+F14),0)</f>
        <v>0</v>
      </c>
      <c r="H14" s="33">
        <f>IF(AND(ISNUMBER(H13),OR(E14&gt;0,F14&gt;0)),(E14+F14)-SUM(H12:H13),0)</f>
        <v>0</v>
      </c>
      <c r="I14" s="20">
        <f t="shared" si="4"/>
        <v>0</v>
      </c>
      <c r="J14" s="13"/>
      <c r="K14" s="13"/>
      <c r="L14" s="19">
        <f t="shared" si="5"/>
        <v>0</v>
      </c>
      <c r="M14" s="22">
        <f t="shared" si="6"/>
        <v>0</v>
      </c>
      <c r="N14" s="13"/>
    </row>
    <row r="15" spans="1:21" x14ac:dyDescent="0.25">
      <c r="A15" s="29"/>
      <c r="B15" s="23"/>
      <c r="C15" s="51">
        <v>0.41666666666666602</v>
      </c>
      <c r="D15" s="24" t="str">
        <f>TEXT(IF(HOUR(C15)=0,C15+TIME(12,0,0),IF(HOUR(C15)&gt;12,C15-TIME(12,0,0),C15)),"h:mm")</f>
        <v>10:00</v>
      </c>
      <c r="E15" s="11"/>
      <c r="F15" s="12"/>
      <c r="G15" s="36">
        <f>IFERROR(F15/(E15+F15),0)</f>
        <v>0</v>
      </c>
      <c r="H15" s="34">
        <f>IF(AND(ISNUMBER(H14),OR(E15&gt;0,F15&gt;0)),(E15+F15)-SUM(H12:H14),0)</f>
        <v>0</v>
      </c>
      <c r="I15" s="27">
        <f t="shared" si="4"/>
        <v>0</v>
      </c>
      <c r="J15" s="13"/>
      <c r="K15" s="13"/>
      <c r="L15" s="19">
        <f t="shared" si="5"/>
        <v>0</v>
      </c>
      <c r="M15" s="22">
        <f t="shared" si="6"/>
        <v>0</v>
      </c>
      <c r="N15" s="13"/>
    </row>
    <row r="16" spans="1:21" x14ac:dyDescent="0.25">
      <c r="A16" s="29"/>
      <c r="B16" s="23"/>
      <c r="C16" s="51">
        <v>0.45833333333333198</v>
      </c>
      <c r="D16" s="24" t="str">
        <f>TEXT(IF(HOUR(C16)=0,C16+TIME(12,0,0),IF(HOUR(C16)&gt;12,C16-TIME(12,0,0),C16)),"h:mm")</f>
        <v>11:00</v>
      </c>
      <c r="E16" s="11"/>
      <c r="F16" s="12"/>
      <c r="G16" s="36">
        <f>IFERROR(F16/(E16+F16),0)</f>
        <v>0</v>
      </c>
      <c r="H16" s="34">
        <f>IF(AND(ISNUMBER(H15),OR(E16&gt;0,F16&gt;0)),(E16+F16)-SUM(H12:H15),0)</f>
        <v>0</v>
      </c>
      <c r="I16" s="27">
        <f t="shared" si="4"/>
        <v>0</v>
      </c>
      <c r="J16" s="13"/>
      <c r="K16" s="13"/>
      <c r="L16" s="19">
        <f t="shared" si="5"/>
        <v>0</v>
      </c>
      <c r="M16" s="22">
        <f t="shared" si="6"/>
        <v>0</v>
      </c>
      <c r="N16" s="13"/>
    </row>
    <row r="17" spans="1:14" x14ac:dyDescent="0.25">
      <c r="A17" s="29"/>
      <c r="B17" s="23"/>
      <c r="C17" s="51">
        <v>0.499999999999998</v>
      </c>
      <c r="D17" s="24" t="str">
        <f>TEXT(IF(AND(C17&gt;"",HOUR(C17)=0),C17+TIME(12,0,0),IF(HOUR(C17)&gt;12,C17-TIME(12,0,0),C17)),"h:mm")</f>
        <v>12:00</v>
      </c>
      <c r="E17" s="11"/>
      <c r="F17" s="12"/>
      <c r="G17" s="36">
        <f>IFERROR(F17/(E17+F17),0)</f>
        <v>0</v>
      </c>
      <c r="H17" s="34">
        <f>IF(AND(ISNUMBER(H16),OR(E17&gt;0,F17&gt;0)),(E17+F17)-SUM(H12:H16),0)</f>
        <v>0</v>
      </c>
      <c r="I17" s="27">
        <f t="shared" si="4"/>
        <v>0</v>
      </c>
      <c r="J17" s="13"/>
      <c r="K17" s="12"/>
      <c r="L17" s="19">
        <f t="shared" si="5"/>
        <v>0</v>
      </c>
      <c r="M17" s="22">
        <f t="shared" si="6"/>
        <v>0</v>
      </c>
      <c r="N17" s="13"/>
    </row>
    <row r="18" spans="1:14" x14ac:dyDescent="0.25">
      <c r="A18" s="29"/>
      <c r="B18" s="23"/>
      <c r="C18" s="51">
        <v>0.54166666666666663</v>
      </c>
      <c r="D18" s="24" t="str">
        <f>TEXT(IF(AND(C18&gt;"",HOUR(C18)=0),C18+TIME(12,0,0),IF(HOUR(C18)&gt;12,C18-TIME(12,0,0),C18)),"h:mm")</f>
        <v>1:00</v>
      </c>
      <c r="E18" s="11"/>
      <c r="F18" s="12"/>
      <c r="G18" s="36">
        <f>IFERROR(F18/(E18+F18),0)</f>
        <v>0</v>
      </c>
      <c r="H18" s="34">
        <f>IF(AND(ISNUMBER(H17),OR(E18&gt;0,F18&gt;0)),(E18+F18)-SUM(H12:H17),0)</f>
        <v>0</v>
      </c>
      <c r="I18" s="27">
        <f t="shared" si="4"/>
        <v>0</v>
      </c>
      <c r="J18" s="13"/>
      <c r="K18" s="13"/>
      <c r="L18" s="19">
        <f t="shared" si="5"/>
        <v>0</v>
      </c>
      <c r="M18" s="22">
        <f t="shared" si="6"/>
        <v>0</v>
      </c>
      <c r="N18" s="13"/>
    </row>
    <row r="19" spans="1:14" x14ac:dyDescent="0.25">
      <c r="A19" s="29"/>
      <c r="B19" s="23"/>
      <c r="C19" s="51">
        <v>0.58333333333333104</v>
      </c>
      <c r="D19" s="24" t="str">
        <f>TEXT(IF(AND(C19&gt;"",HOUR(C19)=0),C19+TIME(12,0,0),IF(HOUR(C19)&gt;12,C19-TIME(12,0,0),C19)),"h:mm")</f>
        <v>2:00</v>
      </c>
      <c r="E19" s="11"/>
      <c r="F19" s="12"/>
      <c r="G19" s="36">
        <f>IFERROR(F19/(E19+F19),0)</f>
        <v>0</v>
      </c>
      <c r="H19" s="34">
        <f>IF(AND(ISNUMBER(H18),OR(E19&gt;0,F19&gt;0)),(E19+F19)-SUM(H12:H18),0)</f>
        <v>0</v>
      </c>
      <c r="I19" s="27">
        <f t="shared" si="4"/>
        <v>0</v>
      </c>
      <c r="J19" s="13"/>
      <c r="K19" s="13"/>
      <c r="L19" s="19">
        <f t="shared" si="5"/>
        <v>0</v>
      </c>
      <c r="M19" s="22">
        <f t="shared" si="6"/>
        <v>0</v>
      </c>
      <c r="N19" s="13"/>
    </row>
    <row r="20" spans="1:14" x14ac:dyDescent="0.25">
      <c r="A20" s="29"/>
      <c r="B20" s="23"/>
      <c r="C20" s="51">
        <v>0.624999999999997</v>
      </c>
      <c r="D20" s="24" t="str">
        <f>TEXT(IF(AND(C20&gt;"",HOUR(C20)=0),C20+TIME(12,0,0),IF(HOUR(C20)&gt;12,C20-TIME(12,0,0),C20)),"h:mm")</f>
        <v>3:00</v>
      </c>
      <c r="E20" s="11"/>
      <c r="F20" s="12"/>
      <c r="G20" s="36">
        <f>IFERROR(F20/(E20+F20),0)</f>
        <v>0</v>
      </c>
      <c r="H20" s="34">
        <f>IF(AND(ISNUMBER(H19),OR(E20&gt;0,F20&gt;0)),(E20+F20)-SUM(H12:H19),0)</f>
        <v>0</v>
      </c>
      <c r="I20" s="27">
        <f t="shared" si="4"/>
        <v>0</v>
      </c>
      <c r="J20" s="13"/>
      <c r="K20" s="13"/>
      <c r="L20" s="19">
        <f t="shared" si="5"/>
        <v>0</v>
      </c>
      <c r="M20" s="22">
        <f t="shared" si="6"/>
        <v>0</v>
      </c>
      <c r="N20" s="13"/>
    </row>
    <row r="21" spans="1:14" x14ac:dyDescent="0.25">
      <c r="A21" s="29"/>
      <c r="B21" s="23"/>
      <c r="C21" s="51"/>
      <c r="D21" s="24"/>
      <c r="E21" s="25"/>
      <c r="F21" s="26"/>
      <c r="G21" s="36"/>
      <c r="H21" s="44">
        <f>SUM(H12:H20)</f>
        <v>0</v>
      </c>
      <c r="I21" s="46"/>
      <c r="J21" s="23"/>
      <c r="K21" s="23"/>
      <c r="L21" s="25"/>
      <c r="M21" s="47">
        <f>SUM(M12:M20)</f>
        <v>0</v>
      </c>
      <c r="N21" s="29">
        <f>SUM(N12:N20)</f>
        <v>0</v>
      </c>
    </row>
    <row r="22" spans="1:14" x14ac:dyDescent="0.25">
      <c r="A22" s="28" t="s">
        <v>15</v>
      </c>
      <c r="B22" s="17">
        <v>46074</v>
      </c>
      <c r="C22" s="50">
        <v>0.29166666666666669</v>
      </c>
      <c r="D22" s="18" t="str">
        <f>TEXT(IF(HOUR(C22)=0,C22+TIME(12,0,0),IF(HOUR(C22)&gt;12,C22-TIME(12,0,0),C22)),"h:mm")</f>
        <v>7:00</v>
      </c>
      <c r="E22" s="14"/>
      <c r="F22" s="15"/>
      <c r="G22" s="35">
        <f>IFERROR(F22/(E22+F22),0)</f>
        <v>0</v>
      </c>
      <c r="H22" s="33">
        <f>IF(AND(ISNUMBER(H21),OR(E22&gt;0,F22&gt;0)),(E22+F22)-H21,0)</f>
        <v>0</v>
      </c>
      <c r="I22" s="48"/>
      <c r="J22" s="16"/>
      <c r="K22" s="16"/>
      <c r="L22" s="19">
        <f t="shared" ref="L22:L30" si="7">IF(J22&gt;0,J22-K22,0)</f>
        <v>0</v>
      </c>
      <c r="M22" s="22">
        <f>IFERROR(IF(OR(B22&gt;"",L22=0),0,L22-L21),"")</f>
        <v>0</v>
      </c>
      <c r="N22" s="16"/>
    </row>
    <row r="23" spans="1:14" x14ac:dyDescent="0.25">
      <c r="A23" s="28"/>
      <c r="B23" s="23"/>
      <c r="C23" s="51">
        <v>0.33333333333333298</v>
      </c>
      <c r="D23" s="24" t="str">
        <f>TEXT(IF(HOUR(C23)=0,C23+TIME(12,0,0),IF(HOUR(C23)&gt;12,C23-TIME(12,0,0),C23)),"h:mm")</f>
        <v>8:00</v>
      </c>
      <c r="E23" s="11"/>
      <c r="F23" s="12"/>
      <c r="G23" s="36">
        <f>IFERROR(F23/(E23+F23),0)</f>
        <v>0</v>
      </c>
      <c r="H23" s="34">
        <f t="shared" ref="H23" si="8">IF(AND(ISNUMBER(H22),OR(E23&gt;0,F23&gt;0)),(E23+F23)-H22,0)</f>
        <v>0</v>
      </c>
      <c r="I23" s="27">
        <f t="shared" ref="I23:I30" si="9">IF(AND(ISNUMBER(H22),OR(F23&gt;0,E23&gt;0)),H23-H22,0)</f>
        <v>0</v>
      </c>
      <c r="J23" s="13"/>
      <c r="K23" s="13"/>
      <c r="L23" s="19">
        <f t="shared" si="7"/>
        <v>0</v>
      </c>
      <c r="M23" s="22">
        <f t="shared" ref="M23:M30" si="10">IFERROR(IF(OR(B23&gt;"",L23=0),0,L23-L22),"")</f>
        <v>0</v>
      </c>
      <c r="N23" s="13"/>
    </row>
    <row r="24" spans="1:14" x14ac:dyDescent="0.25">
      <c r="A24" s="28"/>
      <c r="B24" s="21"/>
      <c r="C24" s="50">
        <v>0.374999999999999</v>
      </c>
      <c r="D24" s="18" t="str">
        <f>TEXT(IF(HOUR(C24)=0,C24+TIME(12,0,0),IF(HOUR(C24)&gt;12,C24-TIME(12,0,0),C24)),"h:mm")</f>
        <v>9:00</v>
      </c>
      <c r="E24" s="11"/>
      <c r="F24" s="12"/>
      <c r="G24" s="35">
        <f>IFERROR(F24/(E24+F24),0)</f>
        <v>0</v>
      </c>
      <c r="H24" s="33">
        <f>IF(AND(ISNUMBER(H23),OR(E24&gt;0,F24&gt;0)),(E24+F24)-SUM(H22:H23),0)</f>
        <v>0</v>
      </c>
      <c r="I24" s="20">
        <f t="shared" si="9"/>
        <v>0</v>
      </c>
      <c r="J24" s="13"/>
      <c r="K24" s="13"/>
      <c r="L24" s="19">
        <f t="shared" si="7"/>
        <v>0</v>
      </c>
      <c r="M24" s="22">
        <f t="shared" si="10"/>
        <v>0</v>
      </c>
      <c r="N24" s="13"/>
    </row>
    <row r="25" spans="1:14" x14ac:dyDescent="0.25">
      <c r="A25" s="29"/>
      <c r="B25" s="23"/>
      <c r="C25" s="51">
        <v>0.41666666666666602</v>
      </c>
      <c r="D25" s="24" t="str">
        <f>TEXT(IF(HOUR(C25)=0,C25+TIME(12,0,0),IF(HOUR(C25)&gt;12,C25-TIME(12,0,0),C25)),"h:mm")</f>
        <v>10:00</v>
      </c>
      <c r="E25" s="11"/>
      <c r="F25" s="12"/>
      <c r="G25" s="36">
        <f>IFERROR(F25/(E25+F25),0)</f>
        <v>0</v>
      </c>
      <c r="H25" s="34">
        <f>IF(AND(ISNUMBER(H24),OR(E25&gt;0,F25&gt;0)),(E25+F25)-SUM(H22:H24),0)</f>
        <v>0</v>
      </c>
      <c r="I25" s="27">
        <f t="shared" si="9"/>
        <v>0</v>
      </c>
      <c r="J25" s="13"/>
      <c r="K25" s="13"/>
      <c r="L25" s="19">
        <f t="shared" si="7"/>
        <v>0</v>
      </c>
      <c r="M25" s="22">
        <f t="shared" si="10"/>
        <v>0</v>
      </c>
      <c r="N25" s="13"/>
    </row>
    <row r="26" spans="1:14" x14ac:dyDescent="0.25">
      <c r="A26" s="29"/>
      <c r="B26" s="23"/>
      <c r="C26" s="51">
        <v>0.45833333333333198</v>
      </c>
      <c r="D26" s="24" t="str">
        <f>TEXT(IF(HOUR(C26)=0,C26+TIME(12,0,0),IF(HOUR(C26)&gt;12,C26-TIME(12,0,0),C26)),"h:mm")</f>
        <v>11:00</v>
      </c>
      <c r="E26" s="11"/>
      <c r="F26" s="12"/>
      <c r="G26" s="36">
        <f>IFERROR(F26/(E26+F26),0)</f>
        <v>0</v>
      </c>
      <c r="H26" s="34">
        <f>IF(AND(ISNUMBER(H25),OR(E26&gt;0,F26&gt;0)),(E26+F26)-SUM(H22:H25),0)</f>
        <v>0</v>
      </c>
      <c r="I26" s="27">
        <f t="shared" si="9"/>
        <v>0</v>
      </c>
      <c r="J26" s="13"/>
      <c r="K26" s="13"/>
      <c r="L26" s="19">
        <f t="shared" si="7"/>
        <v>0</v>
      </c>
      <c r="M26" s="22">
        <f t="shared" si="10"/>
        <v>0</v>
      </c>
      <c r="N26" s="13"/>
    </row>
    <row r="27" spans="1:14" x14ac:dyDescent="0.25">
      <c r="A27" s="29"/>
      <c r="B27" s="23"/>
      <c r="C27" s="51">
        <v>0.499999999999998</v>
      </c>
      <c r="D27" s="24" t="str">
        <f>TEXT(IF(AND(C27&gt;"",HOUR(C27)=0),C27+TIME(12,0,0),IF(HOUR(C27)&gt;12,C27-TIME(12,0,0),C27)),"h:mm")</f>
        <v>12:00</v>
      </c>
      <c r="E27" s="11"/>
      <c r="F27" s="12"/>
      <c r="G27" s="36">
        <f>IFERROR(F27/(E27+F27),0)</f>
        <v>0</v>
      </c>
      <c r="H27" s="34">
        <f>IF(AND(ISNUMBER(H26),OR(E27&gt;0,F27&gt;0)),(E27+F27)-SUM(H22:H26),0)</f>
        <v>0</v>
      </c>
      <c r="I27" s="27">
        <f t="shared" si="9"/>
        <v>0</v>
      </c>
      <c r="J27" s="13"/>
      <c r="K27" s="12"/>
      <c r="L27" s="19">
        <f t="shared" si="7"/>
        <v>0</v>
      </c>
      <c r="M27" s="22">
        <f t="shared" si="10"/>
        <v>0</v>
      </c>
      <c r="N27" s="13"/>
    </row>
    <row r="28" spans="1:14" x14ac:dyDescent="0.25">
      <c r="A28" s="29"/>
      <c r="B28" s="23"/>
      <c r="C28" s="51">
        <v>0.54166666666666496</v>
      </c>
      <c r="D28" s="24" t="str">
        <f>TEXT(IF(AND(C28&gt;"",HOUR(C28)=0),C28+TIME(12,0,0),IF(HOUR(C28)&gt;12,C28-TIME(12,0,0),C28)),"h:mm")</f>
        <v>1:00</v>
      </c>
      <c r="E28" s="11"/>
      <c r="F28" s="12"/>
      <c r="G28" s="36">
        <f>IFERROR(F28/(E28+F28),0)</f>
        <v>0</v>
      </c>
      <c r="H28" s="34">
        <f>IF(AND(ISNUMBER(H27),OR(E28&gt;0,F28&gt;0)),(E28+F28)-SUM(H22:H27),0)</f>
        <v>0</v>
      </c>
      <c r="I28" s="27">
        <f t="shared" si="9"/>
        <v>0</v>
      </c>
      <c r="J28" s="13"/>
      <c r="K28" s="13"/>
      <c r="L28" s="19">
        <f t="shared" si="7"/>
        <v>0</v>
      </c>
      <c r="M28" s="22">
        <f t="shared" si="10"/>
        <v>0</v>
      </c>
      <c r="N28" s="13"/>
    </row>
    <row r="29" spans="1:14" x14ac:dyDescent="0.25">
      <c r="A29" s="29"/>
      <c r="B29" s="23"/>
      <c r="C29" s="51">
        <v>0.58333333333333104</v>
      </c>
      <c r="D29" s="24" t="str">
        <f>TEXT(IF(AND(C29&gt;"",HOUR(C29)=0),C29+TIME(12,0,0),IF(HOUR(C29)&gt;12,C29-TIME(12,0,0),C29)),"h:mm")</f>
        <v>2:00</v>
      </c>
      <c r="E29" s="11"/>
      <c r="F29" s="12"/>
      <c r="G29" s="36">
        <f>IFERROR(F29/(E29+F29),0)</f>
        <v>0</v>
      </c>
      <c r="H29" s="34">
        <f>IF(AND(ISNUMBER(H28),OR(E29&gt;0,F29&gt;0)),(E29+F29)-SUM(H22:H28),0)</f>
        <v>0</v>
      </c>
      <c r="I29" s="27">
        <f t="shared" si="9"/>
        <v>0</v>
      </c>
      <c r="J29" s="13"/>
      <c r="K29" s="13"/>
      <c r="L29" s="19">
        <f t="shared" si="7"/>
        <v>0</v>
      </c>
      <c r="M29" s="22">
        <f t="shared" si="10"/>
        <v>0</v>
      </c>
      <c r="N29" s="13"/>
    </row>
    <row r="30" spans="1:14" x14ac:dyDescent="0.25">
      <c r="A30" s="29"/>
      <c r="B30" s="23"/>
      <c r="C30" s="51">
        <v>0.624999999999997</v>
      </c>
      <c r="D30" s="24" t="str">
        <f>TEXT(IF(AND(C30&gt;"",HOUR(C30)=0),C30+TIME(12,0,0),IF(HOUR(C30)&gt;12,C30-TIME(12,0,0),C30)),"h:mm")</f>
        <v>3:00</v>
      </c>
      <c r="E30" s="11"/>
      <c r="F30" s="12"/>
      <c r="G30" s="36">
        <f>IFERROR(F30/(E30+F30),0)</f>
        <v>0</v>
      </c>
      <c r="H30" s="34">
        <f>IF(AND(ISNUMBER(H29),OR(E30&gt;0,F30&gt;0)),(E30+F30)-SUM(H22:H29),0)</f>
        <v>0</v>
      </c>
      <c r="I30" s="27">
        <f t="shared" si="9"/>
        <v>0</v>
      </c>
      <c r="J30" s="13"/>
      <c r="K30" s="13"/>
      <c r="L30" s="19">
        <f t="shared" si="7"/>
        <v>0</v>
      </c>
      <c r="M30" s="22">
        <f t="shared" si="10"/>
        <v>0</v>
      </c>
      <c r="N30" s="13"/>
    </row>
    <row r="31" spans="1:14" x14ac:dyDescent="0.25">
      <c r="A31" s="29"/>
      <c r="B31" s="23"/>
      <c r="C31" s="51"/>
      <c r="D31" s="24"/>
      <c r="E31" s="25"/>
      <c r="F31" s="26"/>
      <c r="G31" s="36"/>
      <c r="H31" s="44">
        <f>SUM(H22:H30)</f>
        <v>0</v>
      </c>
      <c r="I31" s="46"/>
      <c r="J31" s="23"/>
      <c r="K31" s="23"/>
      <c r="L31" s="25"/>
      <c r="M31" s="47">
        <f>SUM(M22:M30)</f>
        <v>0</v>
      </c>
      <c r="N31" s="29">
        <f>SUM(N22:N30)</f>
        <v>0</v>
      </c>
    </row>
    <row r="32" spans="1:14" x14ac:dyDescent="0.25">
      <c r="A32" s="28" t="s">
        <v>14</v>
      </c>
      <c r="B32" s="17">
        <v>46081</v>
      </c>
      <c r="C32" s="50">
        <v>0.29166666666666669</v>
      </c>
      <c r="D32" s="18" t="str">
        <f>TEXT(IF(HOUR(C32)=0,C32+TIME(12,0,0),IF(HOUR(C32)&gt;12,C32-TIME(12,0,0),C32)),"h:mm")</f>
        <v>7:00</v>
      </c>
      <c r="E32" s="14"/>
      <c r="F32" s="15"/>
      <c r="G32" s="35">
        <f>IFERROR(F32/(E32+F32),0)</f>
        <v>0</v>
      </c>
      <c r="H32" s="33">
        <f>IF(AND(ISNUMBER(H31),OR(E32&gt;0,F32&gt;0)),(E32+F32)-H31,0)</f>
        <v>0</v>
      </c>
      <c r="I32" s="48"/>
      <c r="J32" s="16"/>
      <c r="K32" s="16"/>
      <c r="L32" s="19">
        <f t="shared" ref="L32:L40" si="11">IF(J32&gt;0,J32-K32,0)</f>
        <v>0</v>
      </c>
      <c r="M32" s="22">
        <f>IFERROR(IF(OR(B32&gt;"",L32=0),0,L32-L31),"")</f>
        <v>0</v>
      </c>
      <c r="N32" s="16"/>
    </row>
    <row r="33" spans="1:14" x14ac:dyDescent="0.25">
      <c r="A33" s="28"/>
      <c r="B33" s="23"/>
      <c r="C33" s="51">
        <v>0.33333333333333298</v>
      </c>
      <c r="D33" s="24" t="str">
        <f>TEXT(IF(HOUR(C33)=0,C33+TIME(12,0,0),IF(HOUR(C33)&gt;12,C33-TIME(12,0,0),C33)),"h:mm")</f>
        <v>8:00</v>
      </c>
      <c r="E33" s="11"/>
      <c r="F33" s="12"/>
      <c r="G33" s="36">
        <f>IFERROR(F33/(E33+F33),0)</f>
        <v>0</v>
      </c>
      <c r="H33" s="34">
        <f t="shared" ref="H33" si="12">IF(AND(ISNUMBER(H32),OR(E33&gt;0,F33&gt;0)),(E33+F33)-H32,0)</f>
        <v>0</v>
      </c>
      <c r="I33" s="27">
        <f t="shared" ref="I33:I40" si="13">IF(AND(ISNUMBER(H32),OR(F33&gt;0,E33&gt;0)),H33-H32,0)</f>
        <v>0</v>
      </c>
      <c r="J33" s="13"/>
      <c r="K33" s="13"/>
      <c r="L33" s="19">
        <f t="shared" si="11"/>
        <v>0</v>
      </c>
      <c r="M33" s="22">
        <f t="shared" ref="M33:M40" si="14">IFERROR(IF(OR(B33&gt;"",L33=0),0,L33-L32),"")</f>
        <v>0</v>
      </c>
      <c r="N33" s="13"/>
    </row>
    <row r="34" spans="1:14" x14ac:dyDescent="0.25">
      <c r="A34" s="28"/>
      <c r="B34" s="21"/>
      <c r="C34" s="50">
        <v>0.374999999999999</v>
      </c>
      <c r="D34" s="18" t="str">
        <f>TEXT(IF(HOUR(C34)=0,C34+TIME(12,0,0),IF(HOUR(C34)&gt;12,C34-TIME(12,0,0),C34)),"h:mm")</f>
        <v>9:00</v>
      </c>
      <c r="E34" s="11"/>
      <c r="F34" s="12"/>
      <c r="G34" s="35">
        <f>IFERROR(F34/(E34+F34),0)</f>
        <v>0</v>
      </c>
      <c r="H34" s="33">
        <f>IF(AND(ISNUMBER(H33),OR(E34&gt;0,F34&gt;0)),(E34+F34)-SUM(H32:H33),0)</f>
        <v>0</v>
      </c>
      <c r="I34" s="20">
        <f t="shared" si="13"/>
        <v>0</v>
      </c>
      <c r="J34" s="13"/>
      <c r="K34" s="13"/>
      <c r="L34" s="19">
        <f t="shared" si="11"/>
        <v>0</v>
      </c>
      <c r="M34" s="22">
        <f t="shared" si="14"/>
        <v>0</v>
      </c>
      <c r="N34" s="13"/>
    </row>
    <row r="35" spans="1:14" x14ac:dyDescent="0.25">
      <c r="A35" s="29"/>
      <c r="B35" s="23"/>
      <c r="C35" s="51">
        <v>0.41666666666666602</v>
      </c>
      <c r="D35" s="24" t="str">
        <f>TEXT(IF(HOUR(C35)=0,C35+TIME(12,0,0),IF(HOUR(C35)&gt;12,C35-TIME(12,0,0),C35)),"h:mm")</f>
        <v>10:00</v>
      </c>
      <c r="E35" s="11"/>
      <c r="F35" s="12"/>
      <c r="G35" s="36">
        <f>IFERROR(F35/(E35+F35),0)</f>
        <v>0</v>
      </c>
      <c r="H35" s="34">
        <f>IF(AND(ISNUMBER(H34),OR(E35&gt;0,F35&gt;0)),(E35+F35)-SUM(H32:H34),0)</f>
        <v>0</v>
      </c>
      <c r="I35" s="27">
        <f t="shared" si="13"/>
        <v>0</v>
      </c>
      <c r="J35" s="13"/>
      <c r="K35" s="13"/>
      <c r="L35" s="19">
        <f t="shared" si="11"/>
        <v>0</v>
      </c>
      <c r="M35" s="22">
        <f t="shared" si="14"/>
        <v>0</v>
      </c>
      <c r="N35" s="13"/>
    </row>
    <row r="36" spans="1:14" x14ac:dyDescent="0.25">
      <c r="A36" s="29"/>
      <c r="B36" s="23"/>
      <c r="C36" s="51">
        <v>0.45833333333333198</v>
      </c>
      <c r="D36" s="24" t="str">
        <f>TEXT(IF(HOUR(C36)=0,C36+TIME(12,0,0),IF(HOUR(C36)&gt;12,C36-TIME(12,0,0),C36)),"h:mm")</f>
        <v>11:00</v>
      </c>
      <c r="E36" s="11"/>
      <c r="F36" s="12"/>
      <c r="G36" s="36">
        <f>IFERROR(F36/(E36+F36),0)</f>
        <v>0</v>
      </c>
      <c r="H36" s="34">
        <f>IF(AND(ISNUMBER(H35),OR(E36&gt;0,F36&gt;0)),(E36+F36)-SUM(H32:H35),0)</f>
        <v>0</v>
      </c>
      <c r="I36" s="27">
        <f t="shared" si="13"/>
        <v>0</v>
      </c>
      <c r="J36" s="13"/>
      <c r="K36" s="13"/>
      <c r="L36" s="19">
        <f t="shared" si="11"/>
        <v>0</v>
      </c>
      <c r="M36" s="22">
        <f t="shared" si="14"/>
        <v>0</v>
      </c>
      <c r="N36" s="13"/>
    </row>
    <row r="37" spans="1:14" x14ac:dyDescent="0.25">
      <c r="A37" s="29"/>
      <c r="B37" s="23"/>
      <c r="C37" s="51">
        <v>0.499999999999998</v>
      </c>
      <c r="D37" s="24" t="str">
        <f>TEXT(IF(AND(C37&gt;"",HOUR(C37)=0),C37+TIME(12,0,0),IF(HOUR(C37)&gt;12,C37-TIME(12,0,0),C37)),"h:mm")</f>
        <v>12:00</v>
      </c>
      <c r="E37" s="11"/>
      <c r="F37" s="12"/>
      <c r="G37" s="36">
        <f>IFERROR(F37/(E37+F37),0)</f>
        <v>0</v>
      </c>
      <c r="H37" s="34">
        <f>IF(AND(ISNUMBER(H36),OR(E37&gt;0,F37&gt;0)),(E37+F37)-SUM(H32:H36),0)</f>
        <v>0</v>
      </c>
      <c r="I37" s="27">
        <f t="shared" si="13"/>
        <v>0</v>
      </c>
      <c r="J37" s="13"/>
      <c r="K37" s="12"/>
      <c r="L37" s="19">
        <f t="shared" si="11"/>
        <v>0</v>
      </c>
      <c r="M37" s="22">
        <f t="shared" si="14"/>
        <v>0</v>
      </c>
      <c r="N37" s="13"/>
    </row>
    <row r="38" spans="1:14" x14ac:dyDescent="0.25">
      <c r="A38" s="29"/>
      <c r="B38" s="23"/>
      <c r="C38" s="51">
        <v>0.54166666666666496</v>
      </c>
      <c r="D38" s="24" t="str">
        <f>TEXT(IF(AND(C38&gt;"",HOUR(C38)=0),C38+TIME(12,0,0),IF(HOUR(C38)&gt;12,C38-TIME(12,0,0),C38)),"h:mm")</f>
        <v>1:00</v>
      </c>
      <c r="E38" s="11"/>
      <c r="F38" s="12"/>
      <c r="G38" s="36">
        <f>IFERROR(F38/(E38+F38),0)</f>
        <v>0</v>
      </c>
      <c r="H38" s="34">
        <f>IF(AND(ISNUMBER(H37),OR(E38&gt;0,F38&gt;0)),(E38+F38)-SUM(H32:H37),0)</f>
        <v>0</v>
      </c>
      <c r="I38" s="27">
        <f t="shared" si="13"/>
        <v>0</v>
      </c>
      <c r="J38" s="13"/>
      <c r="K38" s="13"/>
      <c r="L38" s="19">
        <f t="shared" si="11"/>
        <v>0</v>
      </c>
      <c r="M38" s="22">
        <f t="shared" si="14"/>
        <v>0</v>
      </c>
      <c r="N38" s="13"/>
    </row>
    <row r="39" spans="1:14" x14ac:dyDescent="0.25">
      <c r="A39" s="29"/>
      <c r="B39" s="23"/>
      <c r="C39" s="51">
        <v>0.58333333333333104</v>
      </c>
      <c r="D39" s="24" t="str">
        <f>TEXT(IF(AND(C39&gt;"",HOUR(C39)=0),C39+TIME(12,0,0),IF(HOUR(C39)&gt;12,C39-TIME(12,0,0),C39)),"h:mm")</f>
        <v>2:00</v>
      </c>
      <c r="E39" s="11"/>
      <c r="F39" s="12"/>
      <c r="G39" s="36">
        <f>IFERROR(F39/(E39+F39),0)</f>
        <v>0</v>
      </c>
      <c r="H39" s="34">
        <f>IF(AND(ISNUMBER(H38),OR(E39&gt;0,F39&gt;0)),(E39+F39)-SUM(H32:H38),0)</f>
        <v>0</v>
      </c>
      <c r="I39" s="27">
        <f t="shared" si="13"/>
        <v>0</v>
      </c>
      <c r="J39" s="13"/>
      <c r="K39" s="13"/>
      <c r="L39" s="19">
        <f t="shared" si="11"/>
        <v>0</v>
      </c>
      <c r="M39" s="22">
        <f t="shared" si="14"/>
        <v>0</v>
      </c>
      <c r="N39" s="13"/>
    </row>
    <row r="40" spans="1:14" x14ac:dyDescent="0.25">
      <c r="A40" s="29"/>
      <c r="B40" s="23"/>
      <c r="C40" s="51">
        <v>0.624999999999997</v>
      </c>
      <c r="D40" s="24" t="str">
        <f>TEXT(IF(AND(C40&gt;"",HOUR(C40)=0),C40+TIME(12,0,0),IF(HOUR(C40)&gt;12,C40-TIME(12,0,0),C40)),"h:mm")</f>
        <v>3:00</v>
      </c>
      <c r="E40" s="11"/>
      <c r="F40" s="12"/>
      <c r="G40" s="36">
        <f>IFERROR(F40/(E40+F40),0)</f>
        <v>0</v>
      </c>
      <c r="H40" s="34">
        <f>IF(AND(ISNUMBER(H39),OR(E40&gt;0,F40&gt;0)),(E40+F40)-SUM(H32:H39),0)</f>
        <v>0</v>
      </c>
      <c r="I40" s="27">
        <f t="shared" si="13"/>
        <v>0</v>
      </c>
      <c r="J40" s="13"/>
      <c r="K40" s="13"/>
      <c r="L40" s="19">
        <f t="shared" si="11"/>
        <v>0</v>
      </c>
      <c r="M40" s="22">
        <f t="shared" si="14"/>
        <v>0</v>
      </c>
      <c r="N40" s="13"/>
    </row>
    <row r="41" spans="1:14" x14ac:dyDescent="0.25">
      <c r="A41" s="29"/>
      <c r="B41" s="23"/>
      <c r="C41" s="51"/>
      <c r="D41" s="24"/>
      <c r="E41" s="25"/>
      <c r="F41" s="26"/>
      <c r="G41" s="36"/>
      <c r="H41" s="44">
        <f>SUM(H32:H40)</f>
        <v>0</v>
      </c>
      <c r="I41" s="46"/>
      <c r="J41" s="23"/>
      <c r="K41" s="23"/>
      <c r="L41" s="25"/>
      <c r="M41" s="47">
        <f>SUM(M32:M40)</f>
        <v>0</v>
      </c>
      <c r="N41" s="6">
        <f>SUM(N32:N40)</f>
        <v>0</v>
      </c>
    </row>
    <row r="42" spans="1:14" x14ac:dyDescent="0.25">
      <c r="A42" s="28" t="s">
        <v>15</v>
      </c>
      <c r="B42" s="17">
        <v>46088</v>
      </c>
      <c r="C42" s="50">
        <v>0.29166666666666669</v>
      </c>
      <c r="D42" s="18" t="str">
        <f>TEXT(IF(HOUR(C42)=0,C42+TIME(12,0,0),IF(HOUR(C42)&gt;12,C42-TIME(12,0,0),C42)),"h:mm")</f>
        <v>7:00</v>
      </c>
      <c r="E42" s="14"/>
      <c r="F42" s="15"/>
      <c r="G42" s="35">
        <f>IFERROR(F42/(E42+F42),0)</f>
        <v>0</v>
      </c>
      <c r="H42" s="33">
        <f>IF(AND(ISNUMBER(H41),OR(E42&gt;0,F42&gt;0)),(E42+F42)-H41,0)</f>
        <v>0</v>
      </c>
      <c r="I42" s="48"/>
      <c r="J42" s="16"/>
      <c r="K42" s="16"/>
      <c r="L42" s="19">
        <f t="shared" ref="L42:L50" si="15">IF(J42&gt;0,J42-K42,0)</f>
        <v>0</v>
      </c>
      <c r="M42" s="22">
        <f>IFERROR(IF(OR(B42&gt;"",L42=0),0,L42-L41),"")</f>
        <v>0</v>
      </c>
      <c r="N42" s="13"/>
    </row>
    <row r="43" spans="1:14" x14ac:dyDescent="0.25">
      <c r="A43" s="28"/>
      <c r="B43" s="23"/>
      <c r="C43" s="51">
        <v>0.33333333333333298</v>
      </c>
      <c r="D43" s="24" t="str">
        <f>TEXT(IF(HOUR(C43)=0,C43+TIME(12,0,0),IF(HOUR(C43)&gt;12,C43-TIME(12,0,0),C43)),"h:mm")</f>
        <v>8:00</v>
      </c>
      <c r="E43" s="11"/>
      <c r="F43" s="12"/>
      <c r="G43" s="36">
        <f>IFERROR(F43/(E43+F43),0)</f>
        <v>0</v>
      </c>
      <c r="H43" s="34">
        <f t="shared" ref="H43" si="16">IF(AND(ISNUMBER(H42),OR(E43&gt;0,F43&gt;0)),(E43+F43)-H42,0)</f>
        <v>0</v>
      </c>
      <c r="I43" s="27">
        <f t="shared" ref="I43:I50" si="17">IF(AND(ISNUMBER(H42),OR(F43&gt;0,E43&gt;0)),H43-H42,0)</f>
        <v>0</v>
      </c>
      <c r="J43" s="13"/>
      <c r="K43" s="13"/>
      <c r="L43" s="19">
        <f t="shared" si="15"/>
        <v>0</v>
      </c>
      <c r="M43" s="22">
        <f t="shared" ref="M43:M50" si="18">IFERROR(IF(OR(B43&gt;"",L43=0),0,L43-L42),"")</f>
        <v>0</v>
      </c>
      <c r="N43" s="13"/>
    </row>
    <row r="44" spans="1:14" x14ac:dyDescent="0.25">
      <c r="A44" s="28"/>
      <c r="B44" s="21"/>
      <c r="C44" s="50">
        <v>0.374999999999999</v>
      </c>
      <c r="D44" s="18" t="str">
        <f>TEXT(IF(HOUR(C44)=0,C44+TIME(12,0,0),IF(HOUR(C44)&gt;12,C44-TIME(12,0,0),C44)),"h:mm")</f>
        <v>9:00</v>
      </c>
      <c r="E44" s="11"/>
      <c r="F44" s="12"/>
      <c r="G44" s="35">
        <f>IFERROR(F44/(E44+F44),0)</f>
        <v>0</v>
      </c>
      <c r="H44" s="33">
        <f>IF(AND(ISNUMBER(H43),OR(E44&gt;0,F44&gt;0)),(E44+F44)-SUM(H42:H43),0)</f>
        <v>0</v>
      </c>
      <c r="I44" s="20">
        <f t="shared" si="17"/>
        <v>0</v>
      </c>
      <c r="J44" s="13"/>
      <c r="K44" s="13"/>
      <c r="L44" s="19">
        <f t="shared" si="15"/>
        <v>0</v>
      </c>
      <c r="M44" s="22">
        <f t="shared" si="18"/>
        <v>0</v>
      </c>
      <c r="N44" s="13"/>
    </row>
    <row r="45" spans="1:14" x14ac:dyDescent="0.25">
      <c r="A45" s="29"/>
      <c r="B45" s="23"/>
      <c r="C45" s="51">
        <v>0.41666666666666602</v>
      </c>
      <c r="D45" s="24" t="str">
        <f>TEXT(IF(HOUR(C45)=0,C45+TIME(12,0,0),IF(HOUR(C45)&gt;12,C45-TIME(12,0,0),C45)),"h:mm")</f>
        <v>10:00</v>
      </c>
      <c r="E45" s="11"/>
      <c r="F45" s="12"/>
      <c r="G45" s="36">
        <f>IFERROR(F45/(E45+F45),0)</f>
        <v>0</v>
      </c>
      <c r="H45" s="34">
        <f>IF(AND(ISNUMBER(H44),OR(E45&gt;0,F45&gt;0)),(E45+F45)-SUM(H42:H44),0)</f>
        <v>0</v>
      </c>
      <c r="I45" s="27">
        <f t="shared" si="17"/>
        <v>0</v>
      </c>
      <c r="J45" s="13"/>
      <c r="K45" s="13"/>
      <c r="L45" s="19">
        <f t="shared" si="15"/>
        <v>0</v>
      </c>
      <c r="M45" s="22">
        <f t="shared" si="18"/>
        <v>0</v>
      </c>
      <c r="N45" s="13"/>
    </row>
    <row r="46" spans="1:14" x14ac:dyDescent="0.25">
      <c r="A46" s="29"/>
      <c r="B46" s="23"/>
      <c r="C46" s="51">
        <v>0.45833333333333198</v>
      </c>
      <c r="D46" s="24" t="str">
        <f>TEXT(IF(HOUR(C46)=0,C46+TIME(12,0,0),IF(HOUR(C46)&gt;12,C46-TIME(12,0,0),C46)),"h:mm")</f>
        <v>11:00</v>
      </c>
      <c r="E46" s="11"/>
      <c r="F46" s="12"/>
      <c r="G46" s="36">
        <f>IFERROR(F46/(E46+F46),0)</f>
        <v>0</v>
      </c>
      <c r="H46" s="34">
        <f>IF(AND(ISNUMBER(H45),OR(E46&gt;0,F46&gt;0)),(E46+F46)-SUM(H42:H45),0)</f>
        <v>0</v>
      </c>
      <c r="I46" s="27">
        <f t="shared" si="17"/>
        <v>0</v>
      </c>
      <c r="J46" s="13"/>
      <c r="K46" s="13"/>
      <c r="L46" s="19">
        <f t="shared" si="15"/>
        <v>0</v>
      </c>
      <c r="M46" s="22">
        <f t="shared" si="18"/>
        <v>0</v>
      </c>
      <c r="N46" s="13"/>
    </row>
    <row r="47" spans="1:14" x14ac:dyDescent="0.25">
      <c r="A47" s="29"/>
      <c r="B47" s="23"/>
      <c r="C47" s="51">
        <v>0.499999999999998</v>
      </c>
      <c r="D47" s="24" t="str">
        <f>TEXT(IF(AND(C47&gt;"",HOUR(C47)=0),C47+TIME(12,0,0),IF(HOUR(C47)&gt;12,C47-TIME(12,0,0),C47)),"h:mm")</f>
        <v>12:00</v>
      </c>
      <c r="E47" s="11"/>
      <c r="F47" s="12"/>
      <c r="G47" s="36">
        <f>IFERROR(F47/(E47+F47),0)</f>
        <v>0</v>
      </c>
      <c r="H47" s="34">
        <f>IF(AND(ISNUMBER(H46),OR(E47&gt;0,F47&gt;0)),(E47+F47)-SUM(H42:H46),0)</f>
        <v>0</v>
      </c>
      <c r="I47" s="27">
        <f t="shared" si="17"/>
        <v>0</v>
      </c>
      <c r="J47" s="13"/>
      <c r="K47" s="12"/>
      <c r="L47" s="19">
        <f t="shared" si="15"/>
        <v>0</v>
      </c>
      <c r="M47" s="22">
        <f t="shared" si="18"/>
        <v>0</v>
      </c>
      <c r="N47" s="13"/>
    </row>
    <row r="48" spans="1:14" x14ac:dyDescent="0.25">
      <c r="A48" s="29"/>
      <c r="B48" s="23"/>
      <c r="C48" s="51">
        <v>0.54166666666666496</v>
      </c>
      <c r="D48" s="24" t="str">
        <f>TEXT(IF(AND(C48&gt;"",HOUR(C48)=0),C48+TIME(12,0,0),IF(HOUR(C48)&gt;12,C48-TIME(12,0,0),C48)),"h:mm")</f>
        <v>1:00</v>
      </c>
      <c r="E48" s="11"/>
      <c r="F48" s="12"/>
      <c r="G48" s="36">
        <f>IFERROR(F48/(E48+F48),0)</f>
        <v>0</v>
      </c>
      <c r="H48" s="34">
        <f>IF(AND(ISNUMBER(H47),OR(E48&gt;0,F48&gt;0)),(E48+F48)-SUM(H42:H47),0)</f>
        <v>0</v>
      </c>
      <c r="I48" s="27">
        <f t="shared" si="17"/>
        <v>0</v>
      </c>
      <c r="J48" s="13"/>
      <c r="K48" s="13"/>
      <c r="L48" s="19">
        <f t="shared" si="15"/>
        <v>0</v>
      </c>
      <c r="M48" s="22">
        <f t="shared" si="18"/>
        <v>0</v>
      </c>
      <c r="N48" s="13"/>
    </row>
    <row r="49" spans="1:14" x14ac:dyDescent="0.25">
      <c r="A49" s="29"/>
      <c r="B49" s="23"/>
      <c r="C49" s="51">
        <v>0.58333333333333104</v>
      </c>
      <c r="D49" s="24" t="str">
        <f>TEXT(IF(AND(C49&gt;"",HOUR(C49)=0),C49+TIME(12,0,0),IF(HOUR(C49)&gt;12,C49-TIME(12,0,0),C49)),"h:mm")</f>
        <v>2:00</v>
      </c>
      <c r="E49" s="11"/>
      <c r="F49" s="12"/>
      <c r="G49" s="36">
        <f>IFERROR(F49/(E49+F49),0)</f>
        <v>0</v>
      </c>
      <c r="H49" s="34">
        <f>IF(AND(ISNUMBER(H48),OR(E49&gt;0,F49&gt;0)),(E49+F49)-SUM(H42:H48),0)</f>
        <v>0</v>
      </c>
      <c r="I49" s="27">
        <f t="shared" si="17"/>
        <v>0</v>
      </c>
      <c r="J49" s="13"/>
      <c r="K49" s="13"/>
      <c r="L49" s="19">
        <f t="shared" si="15"/>
        <v>0</v>
      </c>
      <c r="M49" s="22">
        <f t="shared" si="18"/>
        <v>0</v>
      </c>
      <c r="N49" s="13"/>
    </row>
    <row r="50" spans="1:14" x14ac:dyDescent="0.25">
      <c r="A50" s="29"/>
      <c r="B50" s="23"/>
      <c r="C50" s="51">
        <v>0.624999999999997</v>
      </c>
      <c r="D50" s="24" t="str">
        <f>TEXT(IF(AND(C50&gt;"",HOUR(C50)=0),C50+TIME(12,0,0),IF(HOUR(C50)&gt;12,C50-TIME(12,0,0),C50)),"h:mm")</f>
        <v>3:00</v>
      </c>
      <c r="E50" s="11"/>
      <c r="F50" s="12"/>
      <c r="G50" s="36">
        <f>IFERROR(F50/(E50+F50),0)</f>
        <v>0</v>
      </c>
      <c r="H50" s="34">
        <f>IF(AND(ISNUMBER(H49),OR(E50&gt;0,F50&gt;0)),(E50+F50)-SUM(H42:H49),0)</f>
        <v>0</v>
      </c>
      <c r="I50" s="27">
        <f t="shared" si="17"/>
        <v>0</v>
      </c>
      <c r="J50" s="13"/>
      <c r="K50" s="13"/>
      <c r="L50" s="19">
        <f t="shared" si="15"/>
        <v>0</v>
      </c>
      <c r="M50" s="22">
        <f t="shared" si="18"/>
        <v>0</v>
      </c>
      <c r="N50" s="13"/>
    </row>
    <row r="51" spans="1:14" x14ac:dyDescent="0.25">
      <c r="A51" s="29"/>
      <c r="B51" s="23"/>
      <c r="C51" s="51"/>
      <c r="D51" s="24"/>
      <c r="E51" s="25"/>
      <c r="F51" s="26"/>
      <c r="G51" s="36"/>
      <c r="H51" s="44">
        <f>SUM(H42:H50)</f>
        <v>0</v>
      </c>
      <c r="I51" s="46"/>
      <c r="J51" s="23"/>
      <c r="K51" s="23"/>
      <c r="L51" s="25"/>
      <c r="M51" s="47">
        <f>SUM(M42:M50)</f>
        <v>0</v>
      </c>
      <c r="N51" s="6">
        <f>SUM(N42:N50)</f>
        <v>0</v>
      </c>
    </row>
    <row r="52" spans="1:14" x14ac:dyDescent="0.25">
      <c r="A52" s="28" t="s">
        <v>13</v>
      </c>
      <c r="B52" s="17">
        <v>46095</v>
      </c>
      <c r="C52" s="50">
        <v>0.29166666666666669</v>
      </c>
      <c r="D52" s="18" t="str">
        <f>TEXT(IF(HOUR(C52)=0,C52+TIME(12,0,0),IF(HOUR(C52)&gt;12,C52-TIME(12,0,0),C52)),"h:mm")</f>
        <v>7:00</v>
      </c>
      <c r="E52" s="14"/>
      <c r="F52" s="15"/>
      <c r="G52" s="35">
        <f>IFERROR(F52/(E52+F52),0)</f>
        <v>0</v>
      </c>
      <c r="H52" s="33">
        <f>IF(AND(ISNUMBER(H51),OR(E52&gt;0,F52&gt;0)),(E52+F52)-H51,0)</f>
        <v>0</v>
      </c>
      <c r="I52" s="48"/>
      <c r="J52" s="16"/>
      <c r="K52" s="16"/>
      <c r="L52" s="19">
        <f t="shared" ref="L52:L60" si="19">IF(J52&gt;0,J52-K52,0)</f>
        <v>0</v>
      </c>
      <c r="M52" s="22">
        <f>IFERROR(IF(OR(B52&gt;"",L52=0),0,L52-L51),"")</f>
        <v>0</v>
      </c>
      <c r="N52" s="13"/>
    </row>
    <row r="53" spans="1:14" x14ac:dyDescent="0.25">
      <c r="A53" s="28"/>
      <c r="B53" s="23"/>
      <c r="C53" s="51">
        <v>0.33333333333333298</v>
      </c>
      <c r="D53" s="24" t="str">
        <f>TEXT(IF(HOUR(C53)=0,C53+TIME(12,0,0),IF(HOUR(C53)&gt;12,C53-TIME(12,0,0),C53)),"h:mm")</f>
        <v>8:00</v>
      </c>
      <c r="E53" s="11"/>
      <c r="F53" s="12"/>
      <c r="G53" s="36">
        <f>IFERROR(F53/(E53+F53),0)</f>
        <v>0</v>
      </c>
      <c r="H53" s="34">
        <f t="shared" ref="H53" si="20">IF(AND(ISNUMBER(H52),OR(E53&gt;0,F53&gt;0)),(E53+F53)-H52,0)</f>
        <v>0</v>
      </c>
      <c r="I53" s="27">
        <f t="shared" ref="I53:I60" si="21">IF(AND(ISNUMBER(H52),OR(F53&gt;0,E53&gt;0)),H53-H52,0)</f>
        <v>0</v>
      </c>
      <c r="J53" s="13"/>
      <c r="K53" s="13"/>
      <c r="L53" s="19">
        <f t="shared" si="19"/>
        <v>0</v>
      </c>
      <c r="M53" s="22">
        <f t="shared" ref="M53:M60" si="22">IFERROR(IF(OR(B53&gt;"",L53=0),0,L53-L52),"")</f>
        <v>0</v>
      </c>
      <c r="N53" s="13"/>
    </row>
    <row r="54" spans="1:14" x14ac:dyDescent="0.25">
      <c r="A54" s="28"/>
      <c r="B54" s="21"/>
      <c r="C54" s="50">
        <v>0.374999999999999</v>
      </c>
      <c r="D54" s="18" t="str">
        <f>TEXT(IF(HOUR(C54)=0,C54+TIME(12,0,0),IF(HOUR(C54)&gt;12,C54-TIME(12,0,0),C54)),"h:mm")</f>
        <v>9:00</v>
      </c>
      <c r="E54" s="11"/>
      <c r="F54" s="12"/>
      <c r="G54" s="35">
        <f>IFERROR(F54/(E54+F54),0)</f>
        <v>0</v>
      </c>
      <c r="H54" s="33">
        <f>IF(AND(ISNUMBER(H53),OR(E54&gt;0,F54&gt;0)),(E54+F54)-SUM(H52:H53),0)</f>
        <v>0</v>
      </c>
      <c r="I54" s="20">
        <f t="shared" si="21"/>
        <v>0</v>
      </c>
      <c r="J54" s="13"/>
      <c r="K54" s="13"/>
      <c r="L54" s="19">
        <f t="shared" si="19"/>
        <v>0</v>
      </c>
      <c r="M54" s="22">
        <f t="shared" si="22"/>
        <v>0</v>
      </c>
      <c r="N54" s="13"/>
    </row>
    <row r="55" spans="1:14" x14ac:dyDescent="0.25">
      <c r="A55" s="29"/>
      <c r="B55" s="23"/>
      <c r="C55" s="51">
        <v>0.41666666666666602</v>
      </c>
      <c r="D55" s="24" t="str">
        <f>TEXT(IF(HOUR(C55)=0,C55+TIME(12,0,0),IF(HOUR(C55)&gt;12,C55-TIME(12,0,0),C55)),"h:mm")</f>
        <v>10:00</v>
      </c>
      <c r="E55" s="11"/>
      <c r="F55" s="12"/>
      <c r="G55" s="36">
        <f>IFERROR(F55/(E55+F55),0)</f>
        <v>0</v>
      </c>
      <c r="H55" s="34">
        <f>IF(AND(ISNUMBER(H54),OR(E55&gt;0,F55&gt;0)),(E55+F55)-SUM(H52:H54),0)</f>
        <v>0</v>
      </c>
      <c r="I55" s="27">
        <f t="shared" si="21"/>
        <v>0</v>
      </c>
      <c r="J55" s="13"/>
      <c r="K55" s="13"/>
      <c r="L55" s="19">
        <f t="shared" si="19"/>
        <v>0</v>
      </c>
      <c r="M55" s="22">
        <f t="shared" si="22"/>
        <v>0</v>
      </c>
      <c r="N55" s="13"/>
    </row>
    <row r="56" spans="1:14" x14ac:dyDescent="0.25">
      <c r="A56" s="29"/>
      <c r="B56" s="23"/>
      <c r="C56" s="51">
        <v>0.45833333333333198</v>
      </c>
      <c r="D56" s="24" t="str">
        <f>TEXT(IF(HOUR(C56)=0,C56+TIME(12,0,0),IF(HOUR(C56)&gt;12,C56-TIME(12,0,0),C56)),"h:mm")</f>
        <v>11:00</v>
      </c>
      <c r="E56" s="11"/>
      <c r="F56" s="12"/>
      <c r="G56" s="36">
        <f>IFERROR(F56/(E56+F56),0)</f>
        <v>0</v>
      </c>
      <c r="H56" s="34">
        <f>IF(AND(ISNUMBER(H55),OR(E56&gt;0,F56&gt;0)),(E56+F56)-SUM(H52:H55),0)</f>
        <v>0</v>
      </c>
      <c r="I56" s="27">
        <f t="shared" si="21"/>
        <v>0</v>
      </c>
      <c r="J56" s="13"/>
      <c r="K56" s="13"/>
      <c r="L56" s="19">
        <f t="shared" si="19"/>
        <v>0</v>
      </c>
      <c r="M56" s="22">
        <f t="shared" si="22"/>
        <v>0</v>
      </c>
      <c r="N56" s="13"/>
    </row>
    <row r="57" spans="1:14" x14ac:dyDescent="0.25">
      <c r="A57" s="29"/>
      <c r="B57" s="23"/>
      <c r="C57" s="51">
        <v>0.499999999999998</v>
      </c>
      <c r="D57" s="24" t="str">
        <f>TEXT(IF(AND(C57&gt;"",HOUR(C57)=0),C57+TIME(12,0,0),IF(HOUR(C57)&gt;12,C57-TIME(12,0,0),C57)),"h:mm")</f>
        <v>12:00</v>
      </c>
      <c r="E57" s="11"/>
      <c r="F57" s="12"/>
      <c r="G57" s="36">
        <f>IFERROR(F57/(E57+F57),0)</f>
        <v>0</v>
      </c>
      <c r="H57" s="34">
        <f>IF(AND(ISNUMBER(H56),OR(E57&gt;0,F57&gt;0)),(E57+F57)-SUM(H52:H56),0)</f>
        <v>0</v>
      </c>
      <c r="I57" s="27">
        <f t="shared" si="21"/>
        <v>0</v>
      </c>
      <c r="J57" s="13"/>
      <c r="K57" s="12"/>
      <c r="L57" s="19">
        <f t="shared" si="19"/>
        <v>0</v>
      </c>
      <c r="M57" s="22">
        <f t="shared" si="22"/>
        <v>0</v>
      </c>
      <c r="N57" s="13"/>
    </row>
    <row r="58" spans="1:14" x14ac:dyDescent="0.25">
      <c r="A58" s="29"/>
      <c r="B58" s="23"/>
      <c r="C58" s="51">
        <v>0.54166666666666496</v>
      </c>
      <c r="D58" s="24" t="str">
        <f>TEXT(IF(AND(C58&gt;"",HOUR(C58)=0),C58+TIME(12,0,0),IF(HOUR(C58)&gt;12,C58-TIME(12,0,0),C58)),"h:mm")</f>
        <v>1:00</v>
      </c>
      <c r="E58" s="11"/>
      <c r="F58" s="12"/>
      <c r="G58" s="36">
        <f>IFERROR(F58/(E58+F58),0)</f>
        <v>0</v>
      </c>
      <c r="H58" s="34">
        <f>IF(AND(ISNUMBER(H57),OR(E58&gt;0,F58&gt;0)),(E58+F58)-SUM(H52:H57),0)</f>
        <v>0</v>
      </c>
      <c r="I58" s="27">
        <f t="shared" si="21"/>
        <v>0</v>
      </c>
      <c r="J58" s="13"/>
      <c r="K58" s="13"/>
      <c r="L58" s="19">
        <f t="shared" si="19"/>
        <v>0</v>
      </c>
      <c r="M58" s="22">
        <f t="shared" si="22"/>
        <v>0</v>
      </c>
      <c r="N58" s="13"/>
    </row>
    <row r="59" spans="1:14" x14ac:dyDescent="0.25">
      <c r="A59" s="29"/>
      <c r="B59" s="23"/>
      <c r="C59" s="51">
        <v>0.58333333333333104</v>
      </c>
      <c r="D59" s="24" t="str">
        <f>TEXT(IF(AND(C59&gt;"",HOUR(C59)=0),C59+TIME(12,0,0),IF(HOUR(C59)&gt;12,C59-TIME(12,0,0),C59)),"h:mm")</f>
        <v>2:00</v>
      </c>
      <c r="E59" s="11"/>
      <c r="F59" s="12"/>
      <c r="G59" s="36">
        <f>IFERROR(F59/(E59+F59),0)</f>
        <v>0</v>
      </c>
      <c r="H59" s="34">
        <f>IF(AND(ISNUMBER(H58),OR(E59&gt;0,F59&gt;0)),(E59+F59)-SUM(H52:H58),0)</f>
        <v>0</v>
      </c>
      <c r="I59" s="27">
        <f t="shared" si="21"/>
        <v>0</v>
      </c>
      <c r="J59" s="13"/>
      <c r="K59" s="13"/>
      <c r="L59" s="19">
        <f t="shared" si="19"/>
        <v>0</v>
      </c>
      <c r="M59" s="22">
        <f t="shared" si="22"/>
        <v>0</v>
      </c>
      <c r="N59" s="13"/>
    </row>
    <row r="60" spans="1:14" x14ac:dyDescent="0.25">
      <c r="A60" s="29"/>
      <c r="B60" s="23"/>
      <c r="C60" s="51">
        <v>0.624999999999997</v>
      </c>
      <c r="D60" s="24" t="str">
        <f>TEXT(IF(AND(C60&gt;"",HOUR(C60)=0),C60+TIME(12,0,0),IF(HOUR(C60)&gt;12,C60-TIME(12,0,0),C60)),"h:mm")</f>
        <v>3:00</v>
      </c>
      <c r="E60" s="11"/>
      <c r="F60" s="12"/>
      <c r="G60" s="36">
        <f>IFERROR(F60/(E60+F60),0)</f>
        <v>0</v>
      </c>
      <c r="H60" s="34">
        <f>IF(AND(ISNUMBER(H59),OR(E60&gt;0,F60&gt;0)),(E60+F60)-SUM(H52:H59),0)</f>
        <v>0</v>
      </c>
      <c r="I60" s="27">
        <f t="shared" si="21"/>
        <v>0</v>
      </c>
      <c r="J60" s="13"/>
      <c r="K60" s="13"/>
      <c r="L60" s="19">
        <f t="shared" si="19"/>
        <v>0</v>
      </c>
      <c r="M60" s="22">
        <f t="shared" si="22"/>
        <v>0</v>
      </c>
      <c r="N60" s="13"/>
    </row>
    <row r="61" spans="1:14" x14ac:dyDescent="0.25">
      <c r="A61" s="29"/>
      <c r="B61" s="23"/>
      <c r="C61" s="51"/>
      <c r="D61" s="24"/>
      <c r="E61" s="25"/>
      <c r="F61" s="26"/>
      <c r="G61" s="36"/>
      <c r="H61" s="44">
        <f>SUM(H52:H60)</f>
        <v>0</v>
      </c>
      <c r="I61" s="46"/>
      <c r="J61" s="23"/>
      <c r="K61" s="23"/>
      <c r="L61" s="25"/>
      <c r="M61" s="47">
        <f>SUM(M52:M60)</f>
        <v>0</v>
      </c>
      <c r="N61" s="6">
        <f>SUM(N52:N60)</f>
        <v>0</v>
      </c>
    </row>
    <row r="62" spans="1:14" x14ac:dyDescent="0.25">
      <c r="A62" s="28" t="s">
        <v>14</v>
      </c>
      <c r="B62" s="17">
        <v>46102</v>
      </c>
      <c r="C62" s="50">
        <v>0.29166666666666669</v>
      </c>
      <c r="D62" s="18" t="str">
        <f>TEXT(IF(HOUR(C62)=0,C62+TIME(12,0,0),IF(HOUR(C62)&gt;12,C62-TIME(12,0,0),C62)),"h:mm")</f>
        <v>7:00</v>
      </c>
      <c r="E62" s="14"/>
      <c r="F62" s="15"/>
      <c r="G62" s="35">
        <f>IFERROR(F62/(E62+F62),0)</f>
        <v>0</v>
      </c>
      <c r="H62" s="33">
        <f>IF(AND(ISNUMBER(H61),OR(E62&gt;0,F62&gt;0)),(E62+F62)-H61,0)</f>
        <v>0</v>
      </c>
      <c r="I62" s="48"/>
      <c r="J62" s="16"/>
      <c r="K62" s="16"/>
      <c r="L62" s="19">
        <f t="shared" ref="L62:L70" si="23">IF(J62&gt;0,J62-K62,0)</f>
        <v>0</v>
      </c>
      <c r="M62" s="22">
        <f>IFERROR(IF(OR(B62&gt;"",L62=0),0,L62-L61),"")</f>
        <v>0</v>
      </c>
      <c r="N62" s="13"/>
    </row>
    <row r="63" spans="1:14" x14ac:dyDescent="0.25">
      <c r="A63" s="28"/>
      <c r="B63" s="23"/>
      <c r="C63" s="51">
        <v>0.33333333333333298</v>
      </c>
      <c r="D63" s="24" t="str">
        <f>TEXT(IF(HOUR(C63)=0,C63+TIME(12,0,0),IF(HOUR(C63)&gt;12,C63-TIME(12,0,0),C63)),"h:mm")</f>
        <v>8:00</v>
      </c>
      <c r="E63" s="11"/>
      <c r="F63" s="12"/>
      <c r="G63" s="36">
        <f>IFERROR(F63/(E63+F63),0)</f>
        <v>0</v>
      </c>
      <c r="H63" s="34">
        <f t="shared" ref="H63" si="24">IF(AND(ISNUMBER(H62),OR(E63&gt;0,F63&gt;0)),(E63+F63)-H62,0)</f>
        <v>0</v>
      </c>
      <c r="I63" s="27">
        <f t="shared" ref="I63:I70" si="25">IF(AND(ISNUMBER(H62),OR(F63&gt;0,E63&gt;0)),H63-H62,0)</f>
        <v>0</v>
      </c>
      <c r="J63" s="13"/>
      <c r="K63" s="13"/>
      <c r="L63" s="19">
        <f t="shared" si="23"/>
        <v>0</v>
      </c>
      <c r="M63" s="22">
        <f t="shared" ref="M63:M70" si="26">IFERROR(IF(OR(B63&gt;"",L63=0),0,L63-L62),"")</f>
        <v>0</v>
      </c>
      <c r="N63" s="13"/>
    </row>
    <row r="64" spans="1:14" x14ac:dyDescent="0.25">
      <c r="A64" s="28"/>
      <c r="B64" s="21"/>
      <c r="C64" s="50">
        <v>0.374999999999999</v>
      </c>
      <c r="D64" s="18" t="str">
        <f>TEXT(IF(HOUR(C64)=0,C64+TIME(12,0,0),IF(HOUR(C64)&gt;12,C64-TIME(12,0,0),C64)),"h:mm")</f>
        <v>9:00</v>
      </c>
      <c r="E64" s="11"/>
      <c r="F64" s="12"/>
      <c r="G64" s="35">
        <f>IFERROR(F64/(E64+F64),0)</f>
        <v>0</v>
      </c>
      <c r="H64" s="33">
        <f>IF(AND(ISNUMBER(H63),OR(E64&gt;0,F64&gt;0)),(E64+F64)-SUM(H62:H63),0)</f>
        <v>0</v>
      </c>
      <c r="I64" s="20">
        <f t="shared" si="25"/>
        <v>0</v>
      </c>
      <c r="J64" s="13"/>
      <c r="K64" s="13"/>
      <c r="L64" s="19">
        <f t="shared" si="23"/>
        <v>0</v>
      </c>
      <c r="M64" s="22">
        <f t="shared" si="26"/>
        <v>0</v>
      </c>
      <c r="N64" s="13"/>
    </row>
    <row r="65" spans="1:14" x14ac:dyDescent="0.25">
      <c r="A65" s="29"/>
      <c r="B65" s="23"/>
      <c r="C65" s="51">
        <v>0.41666666666666602</v>
      </c>
      <c r="D65" s="24" t="str">
        <f>TEXT(IF(HOUR(C65)=0,C65+TIME(12,0,0),IF(HOUR(C65)&gt;12,C65-TIME(12,0,0),C65)),"h:mm")</f>
        <v>10:00</v>
      </c>
      <c r="E65" s="11"/>
      <c r="F65" s="12"/>
      <c r="G65" s="36">
        <f>IFERROR(F65/(E65+F65),0)</f>
        <v>0</v>
      </c>
      <c r="H65" s="34">
        <f>IF(AND(ISNUMBER(H64),OR(E65&gt;0,F65&gt;0)),(E65+F65)-SUM(H62:H64),0)</f>
        <v>0</v>
      </c>
      <c r="I65" s="27">
        <f t="shared" si="25"/>
        <v>0</v>
      </c>
      <c r="J65" s="13"/>
      <c r="K65" s="13"/>
      <c r="L65" s="19">
        <f t="shared" si="23"/>
        <v>0</v>
      </c>
      <c r="M65" s="22">
        <f t="shared" si="26"/>
        <v>0</v>
      </c>
      <c r="N65" s="13"/>
    </row>
    <row r="66" spans="1:14" x14ac:dyDescent="0.25">
      <c r="A66" s="29"/>
      <c r="B66" s="23"/>
      <c r="C66" s="51">
        <v>0.45833333333333198</v>
      </c>
      <c r="D66" s="24" t="str">
        <f>TEXT(IF(HOUR(C66)=0,C66+TIME(12,0,0),IF(HOUR(C66)&gt;12,C66-TIME(12,0,0),C66)),"h:mm")</f>
        <v>11:00</v>
      </c>
      <c r="E66" s="11"/>
      <c r="F66" s="12"/>
      <c r="G66" s="36">
        <f>IFERROR(F66/(E66+F66),0)</f>
        <v>0</v>
      </c>
      <c r="H66" s="34">
        <f>IF(AND(ISNUMBER(H65),OR(E66&gt;0,F66&gt;0)),(E66+F66)-SUM(H62:H65),0)</f>
        <v>0</v>
      </c>
      <c r="I66" s="27">
        <f t="shared" si="25"/>
        <v>0</v>
      </c>
      <c r="J66" s="13"/>
      <c r="K66" s="13"/>
      <c r="L66" s="19">
        <f t="shared" si="23"/>
        <v>0</v>
      </c>
      <c r="M66" s="22">
        <f t="shared" si="26"/>
        <v>0</v>
      </c>
      <c r="N66" s="13"/>
    </row>
    <row r="67" spans="1:14" x14ac:dyDescent="0.25">
      <c r="A67" s="29"/>
      <c r="B67" s="23"/>
      <c r="C67" s="51">
        <v>0.499999999999998</v>
      </c>
      <c r="D67" s="24" t="str">
        <f>TEXT(IF(AND(C67&gt;"",HOUR(C67)=0),C67+TIME(12,0,0),IF(HOUR(C67)&gt;12,C67-TIME(12,0,0),C67)),"h:mm")</f>
        <v>12:00</v>
      </c>
      <c r="E67" s="11"/>
      <c r="F67" s="12"/>
      <c r="G67" s="36">
        <f>IFERROR(F67/(E67+F67),0)</f>
        <v>0</v>
      </c>
      <c r="H67" s="34">
        <f>IF(AND(ISNUMBER(H66),OR(E67&gt;0,F67&gt;0)),(E67+F67)-SUM(H62:H66),0)</f>
        <v>0</v>
      </c>
      <c r="I67" s="27">
        <f t="shared" si="25"/>
        <v>0</v>
      </c>
      <c r="J67" s="13"/>
      <c r="K67" s="12"/>
      <c r="L67" s="19">
        <f t="shared" si="23"/>
        <v>0</v>
      </c>
      <c r="M67" s="22">
        <f t="shared" si="26"/>
        <v>0</v>
      </c>
      <c r="N67" s="13"/>
    </row>
    <row r="68" spans="1:14" x14ac:dyDescent="0.25">
      <c r="A68" s="29"/>
      <c r="B68" s="23"/>
      <c r="C68" s="51">
        <v>0.54166666666666496</v>
      </c>
      <c r="D68" s="24" t="str">
        <f>TEXT(IF(AND(C68&gt;"",HOUR(C68)=0),C68+TIME(12,0,0),IF(HOUR(C68)&gt;12,C68-TIME(12,0,0),C68)),"h:mm")</f>
        <v>1:00</v>
      </c>
      <c r="E68" s="11"/>
      <c r="F68" s="12"/>
      <c r="G68" s="36">
        <f>IFERROR(F68/(E68+F68),0)</f>
        <v>0</v>
      </c>
      <c r="H68" s="34">
        <f>IF(AND(ISNUMBER(H67),OR(E68&gt;0,F68&gt;0)),(E68+F68)-SUM(H62:H67),0)</f>
        <v>0</v>
      </c>
      <c r="I68" s="27">
        <f t="shared" si="25"/>
        <v>0</v>
      </c>
      <c r="J68" s="13"/>
      <c r="K68" s="13"/>
      <c r="L68" s="19">
        <f t="shared" si="23"/>
        <v>0</v>
      </c>
      <c r="M68" s="22">
        <f t="shared" si="26"/>
        <v>0</v>
      </c>
      <c r="N68" s="13"/>
    </row>
    <row r="69" spans="1:14" x14ac:dyDescent="0.25">
      <c r="A69" s="29"/>
      <c r="B69" s="23"/>
      <c r="C69" s="51">
        <v>0.58333333333333104</v>
      </c>
      <c r="D69" s="24" t="str">
        <f>TEXT(IF(AND(C69&gt;"",HOUR(C69)=0),C69+TIME(12,0,0),IF(HOUR(C69)&gt;12,C69-TIME(12,0,0),C69)),"h:mm")</f>
        <v>2:00</v>
      </c>
      <c r="E69" s="11"/>
      <c r="F69" s="12"/>
      <c r="G69" s="36">
        <f>IFERROR(F69/(E69+F69),0)</f>
        <v>0</v>
      </c>
      <c r="H69" s="34">
        <f>IF(AND(ISNUMBER(H68),OR(E69&gt;0,F69&gt;0)),(E69+F69)-SUM(H62:H68),0)</f>
        <v>0</v>
      </c>
      <c r="I69" s="27">
        <f t="shared" si="25"/>
        <v>0</v>
      </c>
      <c r="J69" s="13"/>
      <c r="K69" s="13"/>
      <c r="L69" s="19">
        <f t="shared" si="23"/>
        <v>0</v>
      </c>
      <c r="M69" s="22">
        <f t="shared" si="26"/>
        <v>0</v>
      </c>
      <c r="N69" s="13"/>
    </row>
    <row r="70" spans="1:14" x14ac:dyDescent="0.25">
      <c r="A70" s="29"/>
      <c r="B70" s="23"/>
      <c r="C70" s="51">
        <v>0.624999999999997</v>
      </c>
      <c r="D70" s="24" t="str">
        <f>TEXT(IF(AND(C70&gt;"",HOUR(C70)=0),C70+TIME(12,0,0),IF(HOUR(C70)&gt;12,C70-TIME(12,0,0),C70)),"h:mm")</f>
        <v>3:00</v>
      </c>
      <c r="E70" s="11"/>
      <c r="F70" s="12"/>
      <c r="G70" s="36">
        <f>IFERROR(F70/(E70+F70),0)</f>
        <v>0</v>
      </c>
      <c r="H70" s="34">
        <f>IF(AND(ISNUMBER(H69),OR(E70&gt;0,F70&gt;0)),(E70+F70)-SUM(H62:H69),0)</f>
        <v>0</v>
      </c>
      <c r="I70" s="27">
        <f t="shared" si="25"/>
        <v>0</v>
      </c>
      <c r="J70" s="13"/>
      <c r="K70" s="13"/>
      <c r="L70" s="19">
        <f t="shared" si="23"/>
        <v>0</v>
      </c>
      <c r="M70" s="22">
        <f t="shared" si="26"/>
        <v>0</v>
      </c>
      <c r="N70" s="13"/>
    </row>
    <row r="71" spans="1:14" x14ac:dyDescent="0.25">
      <c r="A71" s="29"/>
      <c r="B71" s="23"/>
      <c r="C71" s="51"/>
      <c r="D71" s="24"/>
      <c r="E71" s="25"/>
      <c r="F71" s="26"/>
      <c r="G71" s="36"/>
      <c r="H71" s="44">
        <f>SUM(H62:H70)</f>
        <v>0</v>
      </c>
      <c r="I71" s="46"/>
      <c r="J71" s="23"/>
      <c r="K71" s="23"/>
      <c r="L71" s="25"/>
      <c r="M71" s="47">
        <f>SUM(M62:M70)</f>
        <v>0</v>
      </c>
      <c r="N71" s="6">
        <f>SUM(N62:N70)</f>
        <v>0</v>
      </c>
    </row>
    <row r="72" spans="1:14" x14ac:dyDescent="0.25">
      <c r="A72" s="28" t="s">
        <v>13</v>
      </c>
      <c r="B72" s="17">
        <v>46109</v>
      </c>
      <c r="C72" s="50">
        <v>0.29166666666666669</v>
      </c>
      <c r="D72" s="18" t="str">
        <f>TEXT(IF(HOUR(C72)=0,C72+TIME(12,0,0),IF(HOUR(C72)&gt;12,C72-TIME(12,0,0),C72)),"h:mm")</f>
        <v>7:00</v>
      </c>
      <c r="E72" s="14"/>
      <c r="F72" s="15"/>
      <c r="G72" s="35">
        <f>IFERROR(F72/(E72+F72),0)</f>
        <v>0</v>
      </c>
      <c r="H72" s="33">
        <f>IF(AND(ISNUMBER(H71),OR(E72&gt;0,F72&gt;0)),(E72+F72)-H71,0)</f>
        <v>0</v>
      </c>
      <c r="I72" s="48"/>
      <c r="J72" s="16"/>
      <c r="K72" s="16"/>
      <c r="L72" s="19">
        <f t="shared" ref="L72:L80" si="27">IF(J72&gt;0,J72-K72,0)</f>
        <v>0</v>
      </c>
      <c r="M72" s="22">
        <f>IFERROR(IF(OR(B72&gt;"",L72=0),0,L72-L71),"")</f>
        <v>0</v>
      </c>
      <c r="N72" s="13"/>
    </row>
    <row r="73" spans="1:14" x14ac:dyDescent="0.25">
      <c r="A73" s="28"/>
      <c r="B73" s="23"/>
      <c r="C73" s="51">
        <v>0.33333333333333298</v>
      </c>
      <c r="D73" s="24" t="str">
        <f>TEXT(IF(HOUR(C73)=0,C73+TIME(12,0,0),IF(HOUR(C73)&gt;12,C73-TIME(12,0,0),C73)),"h:mm")</f>
        <v>8:00</v>
      </c>
      <c r="E73" s="11"/>
      <c r="F73" s="12"/>
      <c r="G73" s="36">
        <f>IFERROR(F73/(E73+F73),0)</f>
        <v>0</v>
      </c>
      <c r="H73" s="34">
        <f t="shared" ref="H73" si="28">IF(AND(ISNUMBER(H72),OR(E73&gt;0,F73&gt;0)),(E73+F73)-H72,0)</f>
        <v>0</v>
      </c>
      <c r="I73" s="27">
        <f t="shared" ref="I73:I80" si="29">IF(AND(ISNUMBER(H72),OR(F73&gt;0,E73&gt;0)),H73-H72,0)</f>
        <v>0</v>
      </c>
      <c r="J73" s="13"/>
      <c r="K73" s="13"/>
      <c r="L73" s="19">
        <f t="shared" si="27"/>
        <v>0</v>
      </c>
      <c r="M73" s="22">
        <f t="shared" ref="M73:M80" si="30">IFERROR(IF(OR(B73&gt;"",L73=0),0,L73-L72),"")</f>
        <v>0</v>
      </c>
      <c r="N73" s="13"/>
    </row>
    <row r="74" spans="1:14" x14ac:dyDescent="0.25">
      <c r="A74" s="28"/>
      <c r="B74" s="21"/>
      <c r="C74" s="50">
        <v>0.374999999999999</v>
      </c>
      <c r="D74" s="18" t="str">
        <f>TEXT(IF(HOUR(C74)=0,C74+TIME(12,0,0),IF(HOUR(C74)&gt;12,C74-TIME(12,0,0),C74)),"h:mm")</f>
        <v>9:00</v>
      </c>
      <c r="E74" s="11"/>
      <c r="F74" s="12"/>
      <c r="G74" s="35">
        <f>IFERROR(F74/(E74+F74),0)</f>
        <v>0</v>
      </c>
      <c r="H74" s="33">
        <f>IF(AND(ISNUMBER(H73),OR(E74&gt;0,F74&gt;0)),(E74+F74)-SUM(H72:H73),0)</f>
        <v>0</v>
      </c>
      <c r="I74" s="20">
        <f t="shared" si="29"/>
        <v>0</v>
      </c>
      <c r="J74" s="13"/>
      <c r="K74" s="13"/>
      <c r="L74" s="19">
        <f t="shared" si="27"/>
        <v>0</v>
      </c>
      <c r="M74" s="22">
        <f t="shared" si="30"/>
        <v>0</v>
      </c>
      <c r="N74" s="13"/>
    </row>
    <row r="75" spans="1:14" x14ac:dyDescent="0.25">
      <c r="A75" s="29"/>
      <c r="B75" s="23"/>
      <c r="C75" s="51">
        <v>0.41666666666666602</v>
      </c>
      <c r="D75" s="24" t="str">
        <f>TEXT(IF(HOUR(C75)=0,C75+TIME(12,0,0),IF(HOUR(C75)&gt;12,C75-TIME(12,0,0),C75)),"h:mm")</f>
        <v>10:00</v>
      </c>
      <c r="E75" s="11"/>
      <c r="F75" s="12"/>
      <c r="G75" s="36">
        <f>IFERROR(F75/(E75+F75),0)</f>
        <v>0</v>
      </c>
      <c r="H75" s="34">
        <f>IF(AND(ISNUMBER(H74),OR(E75&gt;0,F75&gt;0)),(E75+F75)-SUM(H72:H74),0)</f>
        <v>0</v>
      </c>
      <c r="I75" s="27">
        <f t="shared" si="29"/>
        <v>0</v>
      </c>
      <c r="J75" s="13"/>
      <c r="K75" s="13"/>
      <c r="L75" s="19">
        <f t="shared" si="27"/>
        <v>0</v>
      </c>
      <c r="M75" s="22">
        <f t="shared" si="30"/>
        <v>0</v>
      </c>
      <c r="N75" s="13"/>
    </row>
    <row r="76" spans="1:14" x14ac:dyDescent="0.25">
      <c r="A76" s="29"/>
      <c r="B76" s="23"/>
      <c r="C76" s="51">
        <v>0.45833333333333198</v>
      </c>
      <c r="D76" s="24" t="str">
        <f>TEXT(IF(HOUR(C76)=0,C76+TIME(12,0,0),IF(HOUR(C76)&gt;12,C76-TIME(12,0,0),C76)),"h:mm")</f>
        <v>11:00</v>
      </c>
      <c r="E76" s="11"/>
      <c r="F76" s="12"/>
      <c r="G76" s="36">
        <f>IFERROR(F76/(E76+F76),0)</f>
        <v>0</v>
      </c>
      <c r="H76" s="34">
        <f>IF(AND(ISNUMBER(H75),OR(E76&gt;0,F76&gt;0)),(E76+F76)-SUM(H72:H75),0)</f>
        <v>0</v>
      </c>
      <c r="I76" s="27">
        <f t="shared" si="29"/>
        <v>0</v>
      </c>
      <c r="J76" s="13"/>
      <c r="K76" s="13"/>
      <c r="L76" s="19">
        <f t="shared" si="27"/>
        <v>0</v>
      </c>
      <c r="M76" s="22">
        <f t="shared" si="30"/>
        <v>0</v>
      </c>
      <c r="N76" s="13"/>
    </row>
    <row r="77" spans="1:14" x14ac:dyDescent="0.25">
      <c r="A77" s="29"/>
      <c r="B77" s="23"/>
      <c r="C77" s="51">
        <v>0.499999999999998</v>
      </c>
      <c r="D77" s="24" t="str">
        <f>TEXT(IF(AND(C77&gt;"",HOUR(C77)=0),C77+TIME(12,0,0),IF(HOUR(C77)&gt;12,C77-TIME(12,0,0),C77)),"h:mm")</f>
        <v>12:00</v>
      </c>
      <c r="E77" s="11"/>
      <c r="F77" s="12"/>
      <c r="G77" s="36">
        <f>IFERROR(F77/(E77+F77),0)</f>
        <v>0</v>
      </c>
      <c r="H77" s="34">
        <f>IF(AND(ISNUMBER(H76),OR(E77&gt;0,F77&gt;0)),(E77+F77)-SUM(H72:H76),0)</f>
        <v>0</v>
      </c>
      <c r="I77" s="27">
        <f t="shared" si="29"/>
        <v>0</v>
      </c>
      <c r="J77" s="13"/>
      <c r="K77" s="12"/>
      <c r="L77" s="19">
        <f t="shared" si="27"/>
        <v>0</v>
      </c>
      <c r="M77" s="22">
        <f t="shared" si="30"/>
        <v>0</v>
      </c>
      <c r="N77" s="13"/>
    </row>
    <row r="78" spans="1:14" x14ac:dyDescent="0.25">
      <c r="A78" s="29"/>
      <c r="B78" s="23"/>
      <c r="C78" s="51">
        <v>0.54166666666666496</v>
      </c>
      <c r="D78" s="24" t="str">
        <f>TEXT(IF(AND(C78&gt;"",HOUR(C78)=0),C78+TIME(12,0,0),IF(HOUR(C78)&gt;12,C78-TIME(12,0,0),C78)),"h:mm")</f>
        <v>1:00</v>
      </c>
      <c r="E78" s="11"/>
      <c r="F78" s="12"/>
      <c r="G78" s="36">
        <f>IFERROR(F78/(E78+F78),0)</f>
        <v>0</v>
      </c>
      <c r="H78" s="34">
        <f>IF(AND(ISNUMBER(H77),OR(E78&gt;0,F78&gt;0)),(E78+F78)-SUM(H72:H77),0)</f>
        <v>0</v>
      </c>
      <c r="I78" s="27">
        <f t="shared" si="29"/>
        <v>0</v>
      </c>
      <c r="J78" s="13"/>
      <c r="K78" s="13"/>
      <c r="L78" s="19">
        <f t="shared" si="27"/>
        <v>0</v>
      </c>
      <c r="M78" s="22">
        <f t="shared" si="30"/>
        <v>0</v>
      </c>
      <c r="N78" s="13"/>
    </row>
    <row r="79" spans="1:14" x14ac:dyDescent="0.25">
      <c r="A79" s="29"/>
      <c r="B79" s="23"/>
      <c r="C79" s="51">
        <v>0.58333333333333104</v>
      </c>
      <c r="D79" s="24" t="str">
        <f>TEXT(IF(AND(C79&gt;"",HOUR(C79)=0),C79+TIME(12,0,0),IF(HOUR(C79)&gt;12,C79-TIME(12,0,0),C79)),"h:mm")</f>
        <v>2:00</v>
      </c>
      <c r="E79" s="11"/>
      <c r="F79" s="12"/>
      <c r="G79" s="36">
        <f>IFERROR(F79/(E79+F79),0)</f>
        <v>0</v>
      </c>
      <c r="H79" s="34">
        <f>IF(AND(ISNUMBER(H78),OR(E79&gt;0,F79&gt;0)),(E79+F79)-SUM(H72:H78),0)</f>
        <v>0</v>
      </c>
      <c r="I79" s="27">
        <f t="shared" si="29"/>
        <v>0</v>
      </c>
      <c r="J79" s="13"/>
      <c r="K79" s="13"/>
      <c r="L79" s="19">
        <f t="shared" si="27"/>
        <v>0</v>
      </c>
      <c r="M79" s="22">
        <f t="shared" si="30"/>
        <v>0</v>
      </c>
      <c r="N79" s="13"/>
    </row>
    <row r="80" spans="1:14" x14ac:dyDescent="0.25">
      <c r="A80" s="29"/>
      <c r="B80" s="23"/>
      <c r="C80" s="51">
        <v>0.624999999999997</v>
      </c>
      <c r="D80" s="24" t="str">
        <f>TEXT(IF(AND(C80&gt;"",HOUR(C80)=0),C80+TIME(12,0,0),IF(HOUR(C80)&gt;12,C80-TIME(12,0,0),C80)),"h:mm")</f>
        <v>3:00</v>
      </c>
      <c r="E80" s="11"/>
      <c r="F80" s="12"/>
      <c r="G80" s="36">
        <f>IFERROR(F80/(E80+F80),0)</f>
        <v>0</v>
      </c>
      <c r="H80" s="34">
        <f>IF(AND(ISNUMBER(H79),OR(E80&gt;0,F80&gt;0)),(E80+F80)-SUM(H72:H79),0)</f>
        <v>0</v>
      </c>
      <c r="I80" s="27">
        <f t="shared" si="29"/>
        <v>0</v>
      </c>
      <c r="J80" s="13"/>
      <c r="K80" s="13"/>
      <c r="L80" s="19">
        <f t="shared" si="27"/>
        <v>0</v>
      </c>
      <c r="M80" s="22">
        <f t="shared" si="30"/>
        <v>0</v>
      </c>
      <c r="N80" s="13"/>
    </row>
    <row r="81" spans="1:14" x14ac:dyDescent="0.25">
      <c r="A81" s="29"/>
      <c r="B81" s="23"/>
      <c r="C81" s="51"/>
      <c r="D81" s="24"/>
      <c r="E81" s="25"/>
      <c r="F81" s="26"/>
      <c r="G81" s="36"/>
      <c r="H81" s="44">
        <f>SUM(H72:H80)</f>
        <v>0</v>
      </c>
      <c r="I81" s="46"/>
      <c r="J81" s="23"/>
      <c r="K81" s="23"/>
      <c r="L81" s="25"/>
      <c r="M81" s="47">
        <f>SUM(M72:M80)</f>
        <v>0</v>
      </c>
      <c r="N81" s="6">
        <f>SUM(N72:N80)</f>
        <v>0</v>
      </c>
    </row>
    <row r="82" spans="1:14" x14ac:dyDescent="0.25">
      <c r="A82" s="28" t="s">
        <v>15</v>
      </c>
      <c r="B82" s="17">
        <v>46116</v>
      </c>
      <c r="C82" s="50">
        <v>0.29166666666666669</v>
      </c>
      <c r="D82" s="18" t="str">
        <f>TEXT(IF(HOUR(C82)=0,C82+TIME(12,0,0),IF(HOUR(C82)&gt;12,C82-TIME(12,0,0),C82)),"h:mm")</f>
        <v>7:00</v>
      </c>
      <c r="E82" s="14"/>
      <c r="F82" s="15"/>
      <c r="G82" s="35">
        <f>IFERROR(F82/(E82+F82),0)</f>
        <v>0</v>
      </c>
      <c r="H82" s="33">
        <f>IF(AND(ISNUMBER(H81),OR(E82&gt;0,F82&gt;0)),(E82+F82)-H81,0)</f>
        <v>0</v>
      </c>
      <c r="I82" s="48"/>
      <c r="J82" s="16"/>
      <c r="K82" s="16"/>
      <c r="L82" s="19">
        <f t="shared" ref="L82:L90" si="31">IF(J82&gt;0,J82-K82,0)</f>
        <v>0</v>
      </c>
      <c r="M82" s="22">
        <f>IFERROR(IF(OR(B82&gt;"",L82=0),0,L82-L81),"")</f>
        <v>0</v>
      </c>
      <c r="N82" s="13"/>
    </row>
    <row r="83" spans="1:14" x14ac:dyDescent="0.25">
      <c r="A83" s="28"/>
      <c r="B83" s="23"/>
      <c r="C83" s="51">
        <v>0.33333333333333298</v>
      </c>
      <c r="D83" s="24" t="str">
        <f>TEXT(IF(HOUR(C83)=0,C83+TIME(12,0,0),IF(HOUR(C83)&gt;12,C83-TIME(12,0,0),C83)),"h:mm")</f>
        <v>8:00</v>
      </c>
      <c r="E83" s="11"/>
      <c r="F83" s="12"/>
      <c r="G83" s="36">
        <f>IFERROR(F83/(E83+F83),0)</f>
        <v>0</v>
      </c>
      <c r="H83" s="34">
        <f t="shared" ref="H83" si="32">IF(AND(ISNUMBER(H82),OR(E83&gt;0,F83&gt;0)),(E83+F83)-H82,0)</f>
        <v>0</v>
      </c>
      <c r="I83" s="27">
        <f t="shared" ref="I83:I90" si="33">IF(AND(ISNUMBER(H82),OR(F83&gt;0,E83&gt;0)),H83-H82,0)</f>
        <v>0</v>
      </c>
      <c r="J83" s="13"/>
      <c r="K83" s="13"/>
      <c r="L83" s="19">
        <f t="shared" si="31"/>
        <v>0</v>
      </c>
      <c r="M83" s="22">
        <f t="shared" ref="M83:M90" si="34">IFERROR(IF(OR(B83&gt;"",L83=0),0,L83-L82),"")</f>
        <v>0</v>
      </c>
      <c r="N83" s="13"/>
    </row>
    <row r="84" spans="1:14" x14ac:dyDescent="0.25">
      <c r="A84" s="28"/>
      <c r="B84" s="21"/>
      <c r="C84" s="50">
        <v>0.374999999999999</v>
      </c>
      <c r="D84" s="18" t="str">
        <f>TEXT(IF(HOUR(C84)=0,C84+TIME(12,0,0),IF(HOUR(C84)&gt;12,C84-TIME(12,0,0),C84)),"h:mm")</f>
        <v>9:00</v>
      </c>
      <c r="E84" s="11"/>
      <c r="F84" s="12"/>
      <c r="G84" s="35">
        <f>IFERROR(F84/(E84+F84),0)</f>
        <v>0</v>
      </c>
      <c r="H84" s="33">
        <f>IF(AND(ISNUMBER(H83),OR(E84&gt;0,F84&gt;0)),(E84+F84)-SUM(H82:H83),0)</f>
        <v>0</v>
      </c>
      <c r="I84" s="20">
        <f t="shared" si="33"/>
        <v>0</v>
      </c>
      <c r="J84" s="13"/>
      <c r="K84" s="13"/>
      <c r="L84" s="19">
        <f t="shared" si="31"/>
        <v>0</v>
      </c>
      <c r="M84" s="22">
        <f t="shared" si="34"/>
        <v>0</v>
      </c>
      <c r="N84" s="13"/>
    </row>
    <row r="85" spans="1:14" x14ac:dyDescent="0.25">
      <c r="A85" s="29"/>
      <c r="B85" s="23"/>
      <c r="C85" s="51">
        <v>0.41666666666666602</v>
      </c>
      <c r="D85" s="24" t="str">
        <f>TEXT(IF(HOUR(C85)=0,C85+TIME(12,0,0),IF(HOUR(C85)&gt;12,C85-TIME(12,0,0),C85)),"h:mm")</f>
        <v>10:00</v>
      </c>
      <c r="E85" s="11"/>
      <c r="F85" s="12"/>
      <c r="G85" s="36">
        <f>IFERROR(F85/(E85+F85),0)</f>
        <v>0</v>
      </c>
      <c r="H85" s="34">
        <f>IF(AND(ISNUMBER(H84),OR(E85&gt;0,F85&gt;0)),(E85+F85)-SUM(H82:H84),0)</f>
        <v>0</v>
      </c>
      <c r="I85" s="27">
        <f t="shared" si="33"/>
        <v>0</v>
      </c>
      <c r="J85" s="13"/>
      <c r="K85" s="13"/>
      <c r="L85" s="19">
        <f t="shared" si="31"/>
        <v>0</v>
      </c>
      <c r="M85" s="22">
        <f t="shared" si="34"/>
        <v>0</v>
      </c>
      <c r="N85" s="13"/>
    </row>
    <row r="86" spans="1:14" x14ac:dyDescent="0.25">
      <c r="A86" s="29"/>
      <c r="B86" s="23"/>
      <c r="C86" s="51">
        <v>0.45833333333333198</v>
      </c>
      <c r="D86" s="24" t="str">
        <f>TEXT(IF(HOUR(C86)=0,C86+TIME(12,0,0),IF(HOUR(C86)&gt;12,C86-TIME(12,0,0),C86)),"h:mm")</f>
        <v>11:00</v>
      </c>
      <c r="E86" s="11"/>
      <c r="F86" s="12"/>
      <c r="G86" s="36">
        <f>IFERROR(F86/(E86+F86),0)</f>
        <v>0</v>
      </c>
      <c r="H86" s="34">
        <f>IF(AND(ISNUMBER(H85),OR(E86&gt;0,F86&gt;0)),(E86+F86)-SUM(H82:H85),0)</f>
        <v>0</v>
      </c>
      <c r="I86" s="27">
        <f t="shared" si="33"/>
        <v>0</v>
      </c>
      <c r="J86" s="13"/>
      <c r="K86" s="13"/>
      <c r="L86" s="19">
        <f t="shared" si="31"/>
        <v>0</v>
      </c>
      <c r="M86" s="22">
        <f t="shared" si="34"/>
        <v>0</v>
      </c>
      <c r="N86" s="13"/>
    </row>
    <row r="87" spans="1:14" x14ac:dyDescent="0.25">
      <c r="A87" s="29"/>
      <c r="B87" s="23"/>
      <c r="C87" s="51">
        <v>0.499999999999998</v>
      </c>
      <c r="D87" s="24" t="str">
        <f>TEXT(IF(AND(C87&gt;"",HOUR(C87)=0),C87+TIME(12,0,0),IF(HOUR(C87)&gt;12,C87-TIME(12,0,0),C87)),"h:mm")</f>
        <v>12:00</v>
      </c>
      <c r="E87" s="11"/>
      <c r="F87" s="12"/>
      <c r="G87" s="36">
        <f>IFERROR(F87/(E87+F87),0)</f>
        <v>0</v>
      </c>
      <c r="H87" s="34">
        <f>IF(AND(ISNUMBER(H86),OR(E87&gt;0,F87&gt;0)),(E87+F87)-SUM(H82:H86),0)</f>
        <v>0</v>
      </c>
      <c r="I87" s="27">
        <f t="shared" si="33"/>
        <v>0</v>
      </c>
      <c r="J87" s="13"/>
      <c r="K87" s="12"/>
      <c r="L87" s="19">
        <f t="shared" si="31"/>
        <v>0</v>
      </c>
      <c r="M87" s="22">
        <f t="shared" si="34"/>
        <v>0</v>
      </c>
      <c r="N87" s="13"/>
    </row>
    <row r="88" spans="1:14" x14ac:dyDescent="0.25">
      <c r="A88" s="29"/>
      <c r="B88" s="23"/>
      <c r="C88" s="51">
        <v>0.54166666666666496</v>
      </c>
      <c r="D88" s="24" t="str">
        <f>TEXT(IF(AND(C88&gt;"",HOUR(C88)=0),C88+TIME(12,0,0),IF(HOUR(C88)&gt;12,C88-TIME(12,0,0),C88)),"h:mm")</f>
        <v>1:00</v>
      </c>
      <c r="E88" s="11"/>
      <c r="F88" s="12"/>
      <c r="G88" s="36">
        <f>IFERROR(F88/(E88+F88),0)</f>
        <v>0</v>
      </c>
      <c r="H88" s="34">
        <f>IF(AND(ISNUMBER(H87),OR(E88&gt;0,F88&gt;0)),(E88+F88)-SUM(H82:H87),0)</f>
        <v>0</v>
      </c>
      <c r="I88" s="27">
        <f t="shared" si="33"/>
        <v>0</v>
      </c>
      <c r="J88" s="13"/>
      <c r="K88" s="13"/>
      <c r="L88" s="19">
        <f t="shared" si="31"/>
        <v>0</v>
      </c>
      <c r="M88" s="22">
        <f t="shared" si="34"/>
        <v>0</v>
      </c>
      <c r="N88" s="13"/>
    </row>
    <row r="89" spans="1:14" x14ac:dyDescent="0.25">
      <c r="A89" s="29"/>
      <c r="B89" s="23"/>
      <c r="C89" s="51">
        <v>0.58333333333333104</v>
      </c>
      <c r="D89" s="24" t="str">
        <f>TEXT(IF(AND(C89&gt;"",HOUR(C89)=0),C89+TIME(12,0,0),IF(HOUR(C89)&gt;12,C89-TIME(12,0,0),C89)),"h:mm")</f>
        <v>2:00</v>
      </c>
      <c r="E89" s="11"/>
      <c r="F89" s="12"/>
      <c r="G89" s="36">
        <f>IFERROR(F89/(E89+F89),0)</f>
        <v>0</v>
      </c>
      <c r="H89" s="34">
        <f>IF(AND(ISNUMBER(H88),OR(E89&gt;0,F89&gt;0)),(E89+F89)-SUM(H82:H88),0)</f>
        <v>0</v>
      </c>
      <c r="I89" s="27">
        <f t="shared" si="33"/>
        <v>0</v>
      </c>
      <c r="J89" s="13"/>
      <c r="K89" s="13"/>
      <c r="L89" s="19">
        <f t="shared" si="31"/>
        <v>0</v>
      </c>
      <c r="M89" s="22">
        <f t="shared" si="34"/>
        <v>0</v>
      </c>
      <c r="N89" s="13"/>
    </row>
    <row r="90" spans="1:14" x14ac:dyDescent="0.25">
      <c r="A90" s="29"/>
      <c r="B90" s="23"/>
      <c r="C90" s="51">
        <v>0.624999999999997</v>
      </c>
      <c r="D90" s="24" t="str">
        <f>TEXT(IF(AND(C90&gt;"",HOUR(C90)=0),C90+TIME(12,0,0),IF(HOUR(C90)&gt;12,C90-TIME(12,0,0),C90)),"h:mm")</f>
        <v>3:00</v>
      </c>
      <c r="E90" s="11"/>
      <c r="F90" s="12"/>
      <c r="G90" s="36">
        <f>IFERROR(F90/(E90+F90),0)</f>
        <v>0</v>
      </c>
      <c r="H90" s="34">
        <f>IF(AND(ISNUMBER(H89),OR(E90&gt;0,F90&gt;0)),(E90+F90)-SUM(H82:H89),0)</f>
        <v>0</v>
      </c>
      <c r="I90" s="27">
        <f t="shared" si="33"/>
        <v>0</v>
      </c>
      <c r="J90" s="13"/>
      <c r="K90" s="13"/>
      <c r="L90" s="19">
        <f t="shared" si="31"/>
        <v>0</v>
      </c>
      <c r="M90" s="22">
        <f t="shared" si="34"/>
        <v>0</v>
      </c>
      <c r="N90" s="13"/>
    </row>
    <row r="91" spans="1:14" x14ac:dyDescent="0.25">
      <c r="A91" s="29"/>
      <c r="B91" s="23"/>
      <c r="C91" s="51"/>
      <c r="D91" s="24"/>
      <c r="E91" s="25"/>
      <c r="F91" s="26"/>
      <c r="G91" s="36"/>
      <c r="H91" s="44">
        <f>SUM(H82:H90)</f>
        <v>0</v>
      </c>
      <c r="I91" s="46"/>
      <c r="J91" s="23"/>
      <c r="K91" s="23"/>
      <c r="L91" s="25"/>
      <c r="M91" s="47">
        <f>SUM(M82:M90)</f>
        <v>0</v>
      </c>
      <c r="N91" s="6">
        <f>SUM(N82:N90)</f>
        <v>0</v>
      </c>
    </row>
    <row r="92" spans="1:14" x14ac:dyDescent="0.25">
      <c r="A92" s="28" t="s">
        <v>14</v>
      </c>
      <c r="B92" s="17">
        <v>46123</v>
      </c>
      <c r="C92" s="50">
        <v>0.29166666666666669</v>
      </c>
      <c r="D92" s="18" t="str">
        <f>TEXT(IF(HOUR(C92)=0,C92+TIME(12,0,0),IF(HOUR(C92)&gt;12,C92-TIME(12,0,0),C92)),"h:mm")</f>
        <v>7:00</v>
      </c>
      <c r="E92" s="14"/>
      <c r="F92" s="15"/>
      <c r="G92" s="35">
        <f>IFERROR(F92/(E92+F92),0)</f>
        <v>0</v>
      </c>
      <c r="H92" s="33">
        <f>IF(AND(ISNUMBER(H91),OR(E92&gt;0,F92&gt;0)),(E92+F92)-H91,0)</f>
        <v>0</v>
      </c>
      <c r="I92" s="48"/>
      <c r="J92" s="16"/>
      <c r="K92" s="16"/>
      <c r="L92" s="19">
        <f t="shared" ref="L92:L100" si="35">IF(J92&gt;0,J92-K92,0)</f>
        <v>0</v>
      </c>
      <c r="M92" s="22">
        <f>IFERROR(IF(OR(B92&gt;"",L92=0),0,L92-L91),"")</f>
        <v>0</v>
      </c>
      <c r="N92" s="13"/>
    </row>
    <row r="93" spans="1:14" x14ac:dyDescent="0.25">
      <c r="A93" s="28"/>
      <c r="B93" s="23"/>
      <c r="C93" s="51">
        <v>0.33333333333333298</v>
      </c>
      <c r="D93" s="24" t="str">
        <f>TEXT(IF(HOUR(C93)=0,C93+TIME(12,0,0),IF(HOUR(C93)&gt;12,C93-TIME(12,0,0),C93)),"h:mm")</f>
        <v>8:00</v>
      </c>
      <c r="E93" s="11"/>
      <c r="F93" s="12"/>
      <c r="G93" s="36">
        <f>IFERROR(F93/(E93+F93),0)</f>
        <v>0</v>
      </c>
      <c r="H93" s="34">
        <f t="shared" ref="H93" si="36">IF(AND(ISNUMBER(H92),OR(E93&gt;0,F93&gt;0)),(E93+F93)-H92,0)</f>
        <v>0</v>
      </c>
      <c r="I93" s="27">
        <f t="shared" ref="I93:I100" si="37">IF(AND(ISNUMBER(H92),OR(F93&gt;0,E93&gt;0)),H93-H92,0)</f>
        <v>0</v>
      </c>
      <c r="J93" s="13"/>
      <c r="K93" s="13"/>
      <c r="L93" s="19">
        <f t="shared" si="35"/>
        <v>0</v>
      </c>
      <c r="M93" s="22">
        <f t="shared" ref="M93:M100" si="38">IFERROR(IF(OR(B93&gt;"",L93=0),0,L93-L92),"")</f>
        <v>0</v>
      </c>
      <c r="N93" s="13"/>
    </row>
    <row r="94" spans="1:14" x14ac:dyDescent="0.25">
      <c r="A94" s="28"/>
      <c r="B94" s="21"/>
      <c r="C94" s="50">
        <v>0.374999999999999</v>
      </c>
      <c r="D94" s="18" t="str">
        <f>TEXT(IF(HOUR(C94)=0,C94+TIME(12,0,0),IF(HOUR(C94)&gt;12,C94-TIME(12,0,0),C94)),"h:mm")</f>
        <v>9:00</v>
      </c>
      <c r="E94" s="11"/>
      <c r="F94" s="12"/>
      <c r="G94" s="35">
        <f>IFERROR(F94/(E94+F94),0)</f>
        <v>0</v>
      </c>
      <c r="H94" s="33">
        <f>IF(AND(ISNUMBER(H93),OR(E94&gt;0,F94&gt;0)),(E94+F94)-SUM(H92:H93),0)</f>
        <v>0</v>
      </c>
      <c r="I94" s="20">
        <f t="shared" si="37"/>
        <v>0</v>
      </c>
      <c r="J94" s="13"/>
      <c r="K94" s="13"/>
      <c r="L94" s="19">
        <f t="shared" si="35"/>
        <v>0</v>
      </c>
      <c r="M94" s="22">
        <f t="shared" si="38"/>
        <v>0</v>
      </c>
      <c r="N94" s="13"/>
    </row>
    <row r="95" spans="1:14" x14ac:dyDescent="0.25">
      <c r="A95" s="29"/>
      <c r="B95" s="23"/>
      <c r="C95" s="51">
        <v>0.41666666666666602</v>
      </c>
      <c r="D95" s="24" t="str">
        <f>TEXT(IF(HOUR(C95)=0,C95+TIME(12,0,0),IF(HOUR(C95)&gt;12,C95-TIME(12,0,0),C95)),"h:mm")</f>
        <v>10:00</v>
      </c>
      <c r="E95" s="11"/>
      <c r="F95" s="12"/>
      <c r="G95" s="36">
        <f>IFERROR(F95/(E95+F95),0)</f>
        <v>0</v>
      </c>
      <c r="H95" s="34">
        <f>IF(AND(ISNUMBER(H94),OR(E95&gt;0,F95&gt;0)),(E95+F95)-SUM(H92:H94),0)</f>
        <v>0</v>
      </c>
      <c r="I95" s="27">
        <f t="shared" si="37"/>
        <v>0</v>
      </c>
      <c r="J95" s="13"/>
      <c r="K95" s="13"/>
      <c r="L95" s="19">
        <f t="shared" si="35"/>
        <v>0</v>
      </c>
      <c r="M95" s="22">
        <f t="shared" si="38"/>
        <v>0</v>
      </c>
      <c r="N95" s="13"/>
    </row>
    <row r="96" spans="1:14" x14ac:dyDescent="0.25">
      <c r="A96" s="29"/>
      <c r="B96" s="23"/>
      <c r="C96" s="51">
        <v>0.45833333333333198</v>
      </c>
      <c r="D96" s="24" t="str">
        <f>TEXT(IF(HOUR(C96)=0,C96+TIME(12,0,0),IF(HOUR(C96)&gt;12,C96-TIME(12,0,0),C96)),"h:mm")</f>
        <v>11:00</v>
      </c>
      <c r="E96" s="11"/>
      <c r="F96" s="12"/>
      <c r="G96" s="36">
        <f>IFERROR(F96/(E96+F96),0)</f>
        <v>0</v>
      </c>
      <c r="H96" s="34">
        <f>IF(AND(ISNUMBER(H95),OR(E96&gt;0,F96&gt;0)),(E96+F96)-SUM(H92:H95),0)</f>
        <v>0</v>
      </c>
      <c r="I96" s="27">
        <f t="shared" si="37"/>
        <v>0</v>
      </c>
      <c r="J96" s="13"/>
      <c r="K96" s="13"/>
      <c r="L96" s="19">
        <f t="shared" si="35"/>
        <v>0</v>
      </c>
      <c r="M96" s="22">
        <f t="shared" si="38"/>
        <v>0</v>
      </c>
      <c r="N96" s="13"/>
    </row>
    <row r="97" spans="1:14" x14ac:dyDescent="0.25">
      <c r="A97" s="29"/>
      <c r="B97" s="23"/>
      <c r="C97" s="51">
        <v>0.499999999999998</v>
      </c>
      <c r="D97" s="24" t="str">
        <f>TEXT(IF(AND(C97&gt;"",HOUR(C97)=0),C97+TIME(12,0,0),IF(HOUR(C97)&gt;12,C97-TIME(12,0,0),C97)),"h:mm")</f>
        <v>12:00</v>
      </c>
      <c r="E97" s="11"/>
      <c r="F97" s="12"/>
      <c r="G97" s="36">
        <f>IFERROR(F97/(E97+F97),0)</f>
        <v>0</v>
      </c>
      <c r="H97" s="34">
        <f>IF(AND(ISNUMBER(H96),OR(E97&gt;0,F97&gt;0)),(E97+F97)-SUM(H92:H96),0)</f>
        <v>0</v>
      </c>
      <c r="I97" s="27">
        <f t="shared" si="37"/>
        <v>0</v>
      </c>
      <c r="J97" s="13"/>
      <c r="K97" s="12"/>
      <c r="L97" s="19">
        <f t="shared" si="35"/>
        <v>0</v>
      </c>
      <c r="M97" s="22">
        <f t="shared" si="38"/>
        <v>0</v>
      </c>
      <c r="N97" s="13"/>
    </row>
    <row r="98" spans="1:14" x14ac:dyDescent="0.25">
      <c r="A98" s="29"/>
      <c r="B98" s="23"/>
      <c r="C98" s="51">
        <v>0.54166666666666496</v>
      </c>
      <c r="D98" s="24" t="str">
        <f>TEXT(IF(AND(C98&gt;"",HOUR(C98)=0),C98+TIME(12,0,0),IF(HOUR(C98)&gt;12,C98-TIME(12,0,0),C98)),"h:mm")</f>
        <v>1:00</v>
      </c>
      <c r="E98" s="11"/>
      <c r="F98" s="12"/>
      <c r="G98" s="36">
        <f>IFERROR(F98/(E98+F98),0)</f>
        <v>0</v>
      </c>
      <c r="H98" s="34">
        <f>IF(AND(ISNUMBER(H97),OR(E98&gt;0,F98&gt;0)),(E98+F98)-SUM(H92:H97),0)</f>
        <v>0</v>
      </c>
      <c r="I98" s="27">
        <f t="shared" si="37"/>
        <v>0</v>
      </c>
      <c r="J98" s="13"/>
      <c r="K98" s="13"/>
      <c r="L98" s="19">
        <f t="shared" si="35"/>
        <v>0</v>
      </c>
      <c r="M98" s="22">
        <f t="shared" si="38"/>
        <v>0</v>
      </c>
      <c r="N98" s="13"/>
    </row>
    <row r="99" spans="1:14" x14ac:dyDescent="0.25">
      <c r="A99" s="29"/>
      <c r="B99" s="23"/>
      <c r="C99" s="51">
        <v>0.58333333333333104</v>
      </c>
      <c r="D99" s="24" t="str">
        <f>TEXT(IF(AND(C99&gt;"",HOUR(C99)=0),C99+TIME(12,0,0),IF(HOUR(C99)&gt;12,C99-TIME(12,0,0),C99)),"h:mm")</f>
        <v>2:00</v>
      </c>
      <c r="E99" s="11"/>
      <c r="F99" s="12"/>
      <c r="G99" s="36">
        <f>IFERROR(F99/(E99+F99),0)</f>
        <v>0</v>
      </c>
      <c r="H99" s="34">
        <f>IF(AND(ISNUMBER(H98),OR(E99&gt;0,F99&gt;0)),(E99+F99)-SUM(H92:H98),0)</f>
        <v>0</v>
      </c>
      <c r="I99" s="27">
        <f t="shared" si="37"/>
        <v>0</v>
      </c>
      <c r="J99" s="13"/>
      <c r="K99" s="13"/>
      <c r="L99" s="19">
        <f t="shared" si="35"/>
        <v>0</v>
      </c>
      <c r="M99" s="22">
        <f t="shared" si="38"/>
        <v>0</v>
      </c>
      <c r="N99" s="13"/>
    </row>
    <row r="100" spans="1:14" x14ac:dyDescent="0.25">
      <c r="A100" s="29"/>
      <c r="B100" s="23"/>
      <c r="C100" s="51">
        <v>0.624999999999997</v>
      </c>
      <c r="D100" s="24" t="str">
        <f>TEXT(IF(AND(C100&gt;"",HOUR(C100)=0),C100+TIME(12,0,0),IF(HOUR(C100)&gt;12,C100-TIME(12,0,0),C100)),"h:mm")</f>
        <v>3:00</v>
      </c>
      <c r="E100" s="11"/>
      <c r="F100" s="12"/>
      <c r="G100" s="36">
        <f>IFERROR(F100/(E100+F100),0)</f>
        <v>0</v>
      </c>
      <c r="H100" s="34">
        <f>IF(AND(ISNUMBER(H99),OR(E100&gt;0,F100&gt;0)),(E100+F100)-SUM(H92:H99),0)</f>
        <v>0</v>
      </c>
      <c r="I100" s="27">
        <f t="shared" si="37"/>
        <v>0</v>
      </c>
      <c r="J100" s="13"/>
      <c r="K100" s="13"/>
      <c r="L100" s="19">
        <f t="shared" si="35"/>
        <v>0</v>
      </c>
      <c r="M100" s="22">
        <f t="shared" si="38"/>
        <v>0</v>
      </c>
      <c r="N100" s="13"/>
    </row>
    <row r="101" spans="1:14" x14ac:dyDescent="0.25">
      <c r="H101" s="7">
        <f>SUM(H92:H100)</f>
        <v>0</v>
      </c>
      <c r="I101" s="10"/>
      <c r="M101" s="8">
        <f>SUM(M92:M100)</f>
        <v>0</v>
      </c>
      <c r="N101" s="6">
        <f>SUM(N92:N100)</f>
        <v>0</v>
      </c>
    </row>
  </sheetData>
  <conditionalFormatting sqref="A1:F1 H1:N1 A2:N10">
    <cfRule type="expression" dxfId="15" priority="4">
      <formula>AND($A1&lt;&gt;"Total",LOOKUP(2,1/($B1:$B$2&lt;&gt;""),$B1:$B$2)=TODAY(),ISNUMBER($C1),HOUR($C1)=HOUR(NOW()))</formula>
    </cfRule>
  </conditionalFormatting>
  <conditionalFormatting sqref="Q1:Q1048576">
    <cfRule type="expression" dxfId="14" priority="5">
      <formula>CELL("comment",Q1)&lt;&gt;""</formula>
    </cfRule>
    <cfRule type="expression" dxfId="13" priority="6">
      <formula>CELL("comment",A1)&lt;&gt;""</formula>
    </cfRule>
  </conditionalFormatting>
  <conditionalFormatting sqref="A2:N1048576">
    <cfRule type="expression" dxfId="12" priority="7">
      <formula>AND(ISNUMBER(INDEX($B:$B,2+INT((ROW()-2)/11)*11)),INDEX($B:$B,2+INT((ROW()-2)/11)*11)=TODAY(),MOD(ROW()-2,11)&lt;=8)</formula>
    </cfRule>
  </conditionalFormatting>
  <conditionalFormatting sqref="G2:G1048576">
    <cfRule type="expression" dxfId="11" priority="1">
      <formula>AND(G2&lt;=0.4,(E2+F2))</formula>
    </cfRule>
    <cfRule type="expression" dxfId="10" priority="2">
      <formula>AND(G2&gt;0.4,G2&lt;0.6)</formula>
    </cfRule>
    <cfRule type="expression" dxfId="9" priority="3">
      <formula>G2&gt;=0.6</formula>
    </cfRule>
  </conditionalFormatting>
  <conditionalFormatting sqref="A11:N20">
    <cfRule type="expression" dxfId="8" priority="61">
      <formula>AND($A11&lt;&gt;"Total",LOOKUP(2,1/($B2:$B$11&lt;&gt;""),$B2:$B$11)=TODAY(),ISNUMBER($C11),HOUR($C11)=HOUR(NOW()))</formula>
    </cfRule>
  </conditionalFormatting>
  <conditionalFormatting sqref="A21:N30">
    <cfRule type="expression" dxfId="7" priority="80">
      <formula>AND($A21&lt;&gt;"Total",LOOKUP(2,1/($B2:$B$21&lt;&gt;""),$B2:$B$21)=TODAY(),ISNUMBER($C21),HOUR($C21)=HOUR(NOW()))</formula>
    </cfRule>
  </conditionalFormatting>
  <conditionalFormatting sqref="A31:N40">
    <cfRule type="expression" dxfId="6" priority="82">
      <formula>AND($A31&lt;&gt;"Total",LOOKUP(2,1/($B2:$B$31&lt;&gt;""),$B2:$B$31)=TODAY(),ISNUMBER($C31),HOUR($C31)=HOUR(NOW()))</formula>
    </cfRule>
  </conditionalFormatting>
  <conditionalFormatting sqref="A41:N80">
    <cfRule type="expression" dxfId="5" priority="86">
      <formula>AND($A41&lt;&gt;"Total",LOOKUP(2,1/($B2:$B$41&lt;&gt;""),$B2:$B$41)=TODAY(),ISNUMBER($C41),HOUR($C41)=HOUR(NOW()))</formula>
    </cfRule>
  </conditionalFormatting>
  <conditionalFormatting sqref="A91:N100">
    <cfRule type="expression" dxfId="4" priority="196">
      <formula>AND($A91&lt;&gt;"Total",LOOKUP(2,1/($B41:$B$53&lt;&gt;""),$B41:$B$53)=TODAY(),ISNUMBER($C91),HOUR($C91)=HOUR(NOW()))</formula>
    </cfRule>
  </conditionalFormatting>
  <conditionalFormatting sqref="A81:N90">
    <cfRule type="expression" dxfId="3" priority="217">
      <formula>AND($A81&lt;&gt;"Total",LOOKUP(2,1/($B43:$B$41&lt;&gt;""),$B43:$B$41)=TODAY(),ISNUMBER($C81),HOUR($C81)=HOUR(NOW()))</formula>
    </cfRule>
  </conditionalFormatting>
  <conditionalFormatting sqref="A101:N111">
    <cfRule type="expression" dxfId="2" priority="219">
      <formula>AND($A101&lt;&gt;"Total",LOOKUP(2,1/($B41:$B$63&lt;&gt;""),$B41:$B$63)=TODAY(),ISNUMBER($C101),HOUR($C101)=HOUR(NOW()))</formula>
    </cfRule>
  </conditionalFormatting>
  <conditionalFormatting sqref="A112:N1048565">
    <cfRule type="expression" dxfId="1" priority="220">
      <formula>AND($A112&lt;&gt;"Total",LOOKUP(2,1/($B51:$B$63&lt;&gt;""),$B51:$B$63)=TODAY(),ISNUMBER($C112),HOUR($C112)=HOUR(NOW()))</formula>
    </cfRule>
  </conditionalFormatting>
  <conditionalFormatting sqref="A1048566:N1048576">
    <cfRule type="expression" dxfId="0" priority="222">
      <formula>AND($A1048566&lt;&gt;"Total",LOOKUP(2,1/($B2:$B$1048566&lt;&gt;""),$B2:$B$1048566)=TODAY(),ISNUMBER($C1048566),HOUR($C1048566)=HOUR(NOW()))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EEBC34-BB44-46D4-A4C0-9CA0EAF1D189}">
          <x14:formula1>
            <xm:f>Supes!$A:$A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CD10-B6EE-4047-B17F-4D27B28ABF92}">
  <sheetPr codeName="Sheet2"/>
  <dimension ref="A1:D5"/>
  <sheetViews>
    <sheetView workbookViewId="0">
      <selection activeCell="D32" sqref="D32"/>
    </sheetView>
  </sheetViews>
  <sheetFormatPr defaultRowHeight="15" x14ac:dyDescent="0.25"/>
  <sheetData>
    <row r="1" spans="1:4" x14ac:dyDescent="0.25">
      <c r="A1" t="s">
        <v>13</v>
      </c>
      <c r="D1" s="4"/>
    </row>
    <row r="2" spans="1:4" x14ac:dyDescent="0.25">
      <c r="A2" t="s">
        <v>14</v>
      </c>
      <c r="D2" s="4"/>
    </row>
    <row r="3" spans="1:4" x14ac:dyDescent="0.25">
      <c r="A3" t="s">
        <v>11</v>
      </c>
      <c r="D3" s="4"/>
    </row>
    <row r="4" spans="1:4" x14ac:dyDescent="0.25">
      <c r="A4" t="s">
        <v>15</v>
      </c>
      <c r="D4" s="4"/>
    </row>
    <row r="5" spans="1:4" x14ac:dyDescent="0.25">
      <c r="D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3B9D-2172-49F3-9949-AD52BA101424}">
  <sheetPr codeName="Sheet3"/>
  <dimension ref="A1"/>
  <sheetViews>
    <sheetView zoomScale="115" zoomScaleNormal="115" workbookViewId="0">
      <selection activeCell="M22" sqref="M22"/>
    </sheetView>
  </sheetViews>
  <sheetFormatPr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2885c37-dc07-4b6d-a442-e4499dfe453a}" enabled="0" method="" siteId="{22885c37-dc07-4b6d-a442-e4499dfe453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Supes</vt:lpstr>
      <vt:lpstr>Daily Report</vt:lpstr>
    </vt:vector>
  </TitlesOfParts>
  <Company>LightspeedDMS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Jones</dc:creator>
  <cp:lastModifiedBy>Caleb Jones</cp:lastModifiedBy>
  <dcterms:created xsi:type="dcterms:W3CDTF">2026-02-07T14:31:32Z</dcterms:created>
  <dcterms:modified xsi:type="dcterms:W3CDTF">2026-02-07T22:59:02Z</dcterms:modified>
</cp:coreProperties>
</file>